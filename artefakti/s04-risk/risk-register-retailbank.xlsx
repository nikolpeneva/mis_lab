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Инструкции" sheetId="1" state="visible" r:id="rId3"/>
    <sheet name="Скали" sheetId="2" state="visible" r:id="rId4"/>
    <sheet name="Регистър на активите" sheetId="3" state="visible" r:id="rId5"/>
    <sheet name="Регистър на риска" sheetId="4" state="visible" r:id="rId6"/>
    <sheet name="План за третиран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pkirkov:
Probability / Вероятност</t>
        </r>
      </text>
    </comment>
    <comment ref="H1" authorId="0">
      <text>
        <r>
          <rPr>
            <sz val="10"/>
            <rFont val="Arial"/>
            <family val="2"/>
          </rPr>
          <t xml:space="preserve">pkirkov:
Impact / Въздействие
</t>
        </r>
      </text>
    </comment>
  </commentList>
</comments>
</file>

<file path=xl/sharedStrings.xml><?xml version="1.0" encoding="utf-8"?>
<sst xmlns="http://schemas.openxmlformats.org/spreadsheetml/2006/main" count="573" uniqueCount="347">
  <si>
    <t xml:space="preserve">МИС — инструмент за риска (инвентаризация, оценка на риска, план за третиране)</t>
  </si>
  <si>
    <t xml:space="preserve">Ред на попълване: 1) Регистър на активите → 2) Регистър на риска → 3) План за третиране.</t>
  </si>
  <si>
    <t xml:space="preserve"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</si>
  <si>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</si>
  <si>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</si>
  <si>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 xml:space="preserve">   • Редовете  с „◄ ПРИМЕР“  в "Забележка" са образци — изтрий целите редове, преди да качиш в git</t>
  </si>
  <si>
    <t xml:space="preserve"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</si>
  <si>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</si>
  <si>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</si>
  <si>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</si>
  <si>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</si>
  <si>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 xml:space="preserve">   • Стойностите трябва да имат дистрибуция — ако всичко е 5 или всичко е 1, не е оценявано.</t>
  </si>
  <si>
    <t xml:space="preserve">Как работи автоматиката:</t>
  </si>
  <si>
    <t xml:space="preserve">   • Риск = Probablity × Impact. Ниво и Приемлив се пресмятат сами от Риск и от апетита.</t>
  </si>
  <si>
    <t xml:space="preserve">   • В Плана за третиране „Първонач. риск“ се тегли автоматично от Регистъра на риска по R-ID.</t>
  </si>
  <si>
    <t xml:space="preserve">   • Остатъчен риск = Остат. Probability × Остат. Impact; попълва се, когато контролът се внедри.</t>
  </si>
  <si>
    <t xml:space="preserve">Минимум за предаване: ≥12 актива, ≥12 оценени риска, план за третиране на всички неприемливи рискове.</t>
  </si>
  <si>
    <t xml:space="preserve">РИСК АПЕТИТ (число, по подразбиране 9 — сменя се с обосновка):</t>
  </si>
  <si>
    <t xml:space="preserve">Всичко с риск НАД тази стойност е неприемливо и влиза в План за третиране.</t>
  </si>
  <si>
    <t xml:space="preserve">СКАЛА ЗА ВЕРОЯТНОСТ (1–5, по честота)</t>
  </si>
  <si>
    <t xml:space="preserve">1 Много ниска</t>
  </si>
  <si>
    <t xml:space="preserve">по-рядко от веднъж на 10 години, теоретично</t>
  </si>
  <si>
    <t xml:space="preserve">2 Ниска</t>
  </si>
  <si>
    <t xml:space="preserve">веднъж на няколко години в сектора</t>
  </si>
  <si>
    <t xml:space="preserve">3 Средна</t>
  </si>
  <si>
    <t xml:space="preserve">веднъж на няколко години в подобна организация</t>
  </si>
  <si>
    <t xml:space="preserve">4 Висока</t>
  </si>
  <si>
    <t xml:space="preserve">очаква се при текущата защита, поне веднъж годишно</t>
  </si>
  <si>
    <t xml:space="preserve">5 Много висока</t>
  </si>
  <si>
    <t xml:space="preserve">вече се случва или опити постоянно</t>
  </si>
  <si>
    <t xml:space="preserve">СКАЛА ЗА ВЪЗДЕЙСТВИЕ (1–5) — взима се НАЙ-ВИСОКОТО от 4-те измерения</t>
  </si>
  <si>
    <t xml:space="preserve">Ниво</t>
  </si>
  <si>
    <t xml:space="preserve">Работа на услугата</t>
  </si>
  <si>
    <t xml:space="preserve">Данни</t>
  </si>
  <si>
    <t xml:space="preserve">Финанси и право</t>
  </si>
  <si>
    <t xml:space="preserve">Репутация</t>
  </si>
  <si>
    <t xml:space="preserve">1 Нищожно</t>
  </si>
  <si>
    <t xml:space="preserve">без забележимо прекъсване</t>
  </si>
  <si>
    <t xml:space="preserve">без загуба/разкриване</t>
  </si>
  <si>
    <t xml:space="preserve">пренебрежими разходи</t>
  </si>
  <si>
    <t xml:space="preserve">без отзвук</t>
  </si>
  <si>
    <t xml:space="preserve">2 Малко</t>
  </si>
  <si>
    <t xml:space="preserve">прекъсване до половин ден за част</t>
  </si>
  <si>
    <t xml:space="preserve">възстановимо от архив</t>
  </si>
  <si>
    <t xml:space="preserve">в рамките на бюджета</t>
  </si>
  <si>
    <t xml:space="preserve">отделни оплаквания</t>
  </si>
  <si>
    <t xml:space="preserve">3 Средно</t>
  </si>
  <si>
    <t xml:space="preserve">до един ден на основна услуга</t>
  </si>
  <si>
    <t xml:space="preserve">загуба до RPO/вътрешна инфо</t>
  </si>
  <si>
    <t xml:space="preserve">неустойки, извънредни разходи</t>
  </si>
  <si>
    <t xml:space="preserve">локална публичност</t>
  </si>
  <si>
    <t xml:space="preserve">4 Голямо</t>
  </si>
  <si>
    <t xml:space="preserve">над ден или всички потребители</t>
  </si>
  <si>
    <t xml:space="preserve">лични/поверителни данни</t>
  </si>
  <si>
    <t xml:space="preserve">надзорен орган, санкции</t>
  </si>
  <si>
    <t xml:space="preserve">национална публичност</t>
  </si>
  <si>
    <t xml:space="preserve">5 Критично</t>
  </si>
  <si>
    <t xml:space="preserve">спиране, живот и здраве, КИ</t>
  </si>
  <si>
    <t xml:space="preserve">масово/невъзстановимо</t>
  </si>
  <si>
    <t xml:space="preserve">лиценз, наказателна отг.</t>
  </si>
  <si>
    <t xml:space="preserve">трайна загуба на доверие</t>
  </si>
  <si>
    <t xml:space="preserve">НИВА НА РИСК (вероятност × въздействие)</t>
  </si>
  <si>
    <t xml:space="preserve">Стойност</t>
  </si>
  <si>
    <t xml:space="preserve">Цвят</t>
  </si>
  <si>
    <t xml:space="preserve">Срок за третиране</t>
  </si>
  <si>
    <t xml:space="preserve">Нисък</t>
  </si>
  <si>
    <t xml:space="preserve">1–4</t>
  </si>
  <si>
    <t xml:space="preserve">приема се / наблюдава се</t>
  </si>
  <si>
    <t xml:space="preserve">Умерен</t>
  </si>
  <si>
    <t xml:space="preserve">5–9</t>
  </si>
  <si>
    <t xml:space="preserve">наблюдава се</t>
  </si>
  <si>
    <t xml:space="preserve">Висок</t>
  </si>
  <si>
    <t xml:space="preserve">10–15</t>
  </si>
  <si>
    <t xml:space="preserve">третира се до 90 дни</t>
  </si>
  <si>
    <t xml:space="preserve">Критичен</t>
  </si>
  <si>
    <t xml:space="preserve">16–25</t>
  </si>
  <si>
    <t xml:space="preserve">третира се до 30 дни, временна мярка до 7 дни</t>
  </si>
  <si>
    <t xml:space="preserve">ВАРИАНТИ ЗА ТРЕТИРАНЕ</t>
  </si>
  <si>
    <t xml:space="preserve">Намаляване</t>
  </si>
  <si>
    <t xml:space="preserve">контрол, който сваля вероятността или въздействието</t>
  </si>
  <si>
    <t xml:space="preserve">Прехвърляне</t>
  </si>
  <si>
    <t xml:space="preserve">застраховка или договорна клауза; какво остава непрехвърлено</t>
  </si>
  <si>
    <t xml:space="preserve">Избягване</t>
  </si>
  <si>
    <t xml:space="preserve">спиране на дейността, която носи риска</t>
  </si>
  <si>
    <t xml:space="preserve">Приемане</t>
  </si>
  <si>
    <t xml:space="preserve">рискът е под апетита или третирането струва повече от щетата; кой приема, с длъжност и дата</t>
  </si>
  <si>
    <t xml:space="preserve">A-ID</t>
  </si>
  <si>
    <t xml:space="preserve">Наименование</t>
  </si>
  <si>
    <t xml:space="preserve">Тип</t>
  </si>
  <si>
    <t xml:space="preserve">Собственик (длъжност)</t>
  </si>
  <si>
    <t xml:space="preserve">Оператор</t>
  </si>
  <si>
    <t xml:space="preserve">Класификация</t>
  </si>
  <si>
    <t xml:space="preserve">Локация</t>
  </si>
  <si>
    <t xml:space="preserve">Зависимости</t>
  </si>
  <si>
    <t xml:space="preserve">Забележка</t>
  </si>
  <si>
    <t xml:space="preserve">A-01</t>
  </si>
  <si>
    <t xml:space="preserve">Core Banking System (CBS)</t>
  </si>
  <si>
    <t xml:space="preserve">софтуер</t>
  </si>
  <si>
    <t xml:space="preserve">Ръководител ИТ</t>
  </si>
  <si>
    <t xml:space="preserve">Системен администратор</t>
  </si>
  <si>
    <t xml:space="preserve">строго поверителна</t>
  </si>
  <si>
    <t xml:space="preserve">LAN-HQ, 8443/TCP</t>
  </si>
  <si>
    <t xml:space="preserve">A-03, A-06, A-14</t>
  </si>
  <si>
    <t xml:space="preserve">Ядрото на банката</t>
  </si>
  <si>
    <t xml:space="preserve">A-02</t>
  </si>
  <si>
    <t xml:space="preserve">ATM Manager</t>
  </si>
  <si>
    <t xml:space="preserve">поверителна</t>
  </si>
  <si>
    <t xml:space="preserve">ATM сегмент, 9000/TCP</t>
  </si>
  <si>
    <t xml:space="preserve">A-04, A-06</t>
  </si>
  <si>
    <t xml:space="preserve">Управление на банкоматите</t>
  </si>
  <si>
    <t xml:space="preserve">A-03</t>
  </si>
  <si>
    <t xml:space="preserve">База данни със сметки и транзакции</t>
  </si>
  <si>
    <t xml:space="preserve">информация</t>
  </si>
  <si>
    <t xml:space="preserve">Директор сигурност (CISO)</t>
  </si>
  <si>
    <t xml:space="preserve">Администратор на бази данни</t>
  </si>
  <si>
    <t xml:space="preserve">вътрешен сегмент HQ</t>
  </si>
  <si>
    <t xml:space="preserve">A-14</t>
  </si>
  <si>
    <t xml:space="preserve">Лични и финансови данни</t>
  </si>
  <si>
    <t xml:space="preserve">A-04</t>
  </si>
  <si>
    <t xml:space="preserve">Банкомати (ATM терминали)</t>
  </si>
  <si>
    <t xml:space="preserve">хардуер</t>
  </si>
  <si>
    <t xml:space="preserve">Ръководител операции</t>
  </si>
  <si>
    <t xml:space="preserve">Фасилити / Системен администратор</t>
  </si>
  <si>
    <t xml:space="preserve">публични локации, клонове</t>
  </si>
  <si>
    <t xml:space="preserve">Физически изложени</t>
  </si>
  <si>
    <t xml:space="preserve">A-05</t>
  </si>
  <si>
    <t xml:space="preserve">Firewall / Gateway (gw)</t>
  </si>
  <si>
    <t xml:space="preserve">Мрежов администратор</t>
  </si>
  <si>
    <t xml:space="preserve">вътрешна</t>
  </si>
  <si>
    <t xml:space="preserve">периметър HQ</t>
  </si>
  <si>
    <t xml:space="preserve">A-06</t>
  </si>
  <si>
    <t xml:space="preserve">nftables, NAT само от HQ</t>
  </si>
  <si>
    <t xml:space="preserve">Вътрешна мрежа и сегментация</t>
  </si>
  <si>
    <t xml:space="preserve">мрежа</t>
  </si>
  <si>
    <t xml:space="preserve">всички сегменти</t>
  </si>
  <si>
    <t xml:space="preserve">HQ / клонове / ATM</t>
  </si>
  <si>
    <t xml:space="preserve">A-07</t>
  </si>
  <si>
    <t xml:space="preserve">Банкови терминали в клоновете</t>
  </si>
  <si>
    <t xml:space="preserve">Ръководител клонова мрежа</t>
  </si>
  <si>
    <t xml:space="preserve">Пловдив, Видин</t>
  </si>
  <si>
    <t xml:space="preserve">A-06, A-01</t>
  </si>
  <si>
    <t xml:space="preserve">Достъп до CBS по TLS</t>
  </si>
  <si>
    <t xml:space="preserve">A-08</t>
  </si>
  <si>
    <t xml:space="preserve">Система за наблюдение (Wazuh, mon)</t>
  </si>
  <si>
    <t xml:space="preserve">Анализатор сигурност</t>
  </si>
  <si>
    <t xml:space="preserve">мониторинг сегмент</t>
  </si>
  <si>
    <t xml:space="preserve">SIEM / логове</t>
  </si>
  <si>
    <t xml:space="preserve">A-09</t>
  </si>
  <si>
    <t xml:space="preserve">Картови данни (PAN, PCI DSS)</t>
  </si>
  <si>
    <t xml:space="preserve">картова среда (CDE)</t>
  </si>
  <si>
    <t xml:space="preserve">В обхват на PCI DSS</t>
  </si>
  <si>
    <t xml:space="preserve">A-10</t>
  </si>
  <si>
    <t xml:space="preserve">Портал за онлайн банкиране</t>
  </si>
  <si>
    <t xml:space="preserve">DMZ сегмент</t>
  </si>
  <si>
    <t xml:space="preserve">A-01, A-12</t>
  </si>
  <si>
    <t xml:space="preserve">Публично достъпен</t>
  </si>
  <si>
    <t xml:space="preserve">A-11</t>
  </si>
  <si>
    <t xml:space="preserve">Услуга електронна поща</t>
  </si>
  <si>
    <t xml:space="preserve">услуга</t>
  </si>
  <si>
    <t xml:space="preserve">облак / централа</t>
  </si>
  <si>
    <t xml:space="preserve">A-12</t>
  </si>
  <si>
    <t xml:space="preserve">Служебна комуникация</t>
  </si>
  <si>
    <t xml:space="preserve">Домейн и DNS</t>
  </si>
  <si>
    <t xml:space="preserve">външен DNS / регистратор</t>
  </si>
  <si>
    <t xml:space="preserve">—</t>
  </si>
  <si>
    <t xml:space="preserve">Домейни на банката</t>
  </si>
  <si>
    <t xml:space="preserve">A-13</t>
  </si>
  <si>
    <t xml:space="preserve">Системен администратор (ключово знание)</t>
  </si>
  <si>
    <t xml:space="preserve">хора</t>
  </si>
  <si>
    <t xml:space="preserve">Управител</t>
  </si>
  <si>
    <t xml:space="preserve">централа</t>
  </si>
  <si>
    <t xml:space="preserve">Знанието е актив</t>
  </si>
  <si>
    <t xml:space="preserve">Сървърно помещение / ЦОД</t>
  </si>
  <si>
    <t xml:space="preserve">помещение</t>
  </si>
  <si>
    <t xml:space="preserve">Фасилити</t>
  </si>
  <si>
    <t xml:space="preserve">централа София</t>
  </si>
  <si>
    <t xml:space="preserve">Физическа среда</t>
  </si>
  <si>
    <t xml:space="preserve">A-15</t>
  </si>
  <si>
    <t xml:space="preserve">Резервни копия (backups)</t>
  </si>
  <si>
    <t xml:space="preserve">офлайн / отделен сегмент</t>
  </si>
  <si>
    <t xml:space="preserve">A-03, A-01</t>
  </si>
  <si>
    <t xml:space="preserve">Възстановяване при бедствие</t>
  </si>
  <si>
    <t xml:space="preserve">R-ID</t>
  </si>
  <si>
    <t xml:space="preserve">Заплаха ( MITTRE ATT&amp;CK техника)</t>
  </si>
  <si>
    <t xml:space="preserve">Уязвимост</t>
  </si>
  <si>
    <t xml:space="preserve">Сценарий (изречение)</t>
  </si>
  <si>
    <t xml:space="preserve">Съществуващи контроли</t>
  </si>
  <si>
    <t xml:space="preserve">P</t>
  </si>
  <si>
    <t xml:space="preserve">I</t>
  </si>
  <si>
    <t xml:space="preserve">Риск</t>
  </si>
  <si>
    <t xml:space="preserve">Приемлив</t>
  </si>
  <si>
    <t xml:space="preserve">Третиране</t>
  </si>
  <si>
    <t xml:space="preserve">Отговорник (длъжност)</t>
  </si>
  <si>
    <t xml:space="preserve">Срок</t>
  </si>
  <si>
    <t xml:space="preserve">Час</t>
  </si>
  <si>
    <t xml:space="preserve">Остат. P</t>
  </si>
  <si>
    <t xml:space="preserve">Остат. I</t>
  </si>
  <si>
    <t xml:space="preserve">Остат. риск</t>
  </si>
  <si>
    <t xml:space="preserve">Доказателство</t>
  </si>
  <si>
    <t xml:space="preserve">R-01</t>
  </si>
  <si>
    <t xml:space="preserve">A-01 (CBS)</t>
  </si>
  <si>
    <t xml:space="preserve">T1190 Exploit Public-Facing App → T1210 Exploit Remote Services → T1041 Exfiltration over C2</t>
  </si>
  <si>
    <t xml:space="preserve">Непачнат CBS фронтенд, без WAF пред него</t>
  </si>
  <si>
    <t xml:space="preserve">Външен нападател пробива CBS през публично достъпна услуга и достига до сметките</t>
  </si>
  <si>
    <t xml:space="preserve">TLS, мрежова сегментация</t>
  </si>
  <si>
    <t xml:space="preserve">намаляване</t>
  </si>
  <si>
    <t xml:space="preserve">30 дни</t>
  </si>
  <si>
    <t xml:space="preserve">9</t>
  </si>
  <si>
    <t xml:space="preserve">artefakti/s09-firewall/</t>
  </si>
  <si>
    <t xml:space="preserve">R-02</t>
  </si>
  <si>
    <t xml:space="preserve">A-03 (БД сметки)</t>
  </si>
  <si>
    <t xml:space="preserve">T1078 Valid Accounts → T1530 Data from Cloud/DB → T1041 Exfiltration</t>
  </si>
  <si>
    <t xml:space="preserve">Админ достъп до БД само с парола, без MFA и без ограничение на източника</t>
  </si>
  <si>
    <t xml:space="preserve">Компрометиран админ акаунт изнася клиентските данни</t>
  </si>
  <si>
    <t xml:space="preserve">Сложност на паролата, дневник на достъпа</t>
  </si>
  <si>
    <t xml:space="preserve">artefakti/s09-mfa/</t>
  </si>
  <si>
    <t xml:space="preserve">R-03</t>
  </si>
  <si>
    <t xml:space="preserve">A-04 (банкомати)</t>
  </si>
  <si>
    <t xml:space="preserve">T1200 Hardware Additions / T1485 Data Destruction</t>
  </si>
  <si>
    <t xml:space="preserve">Физически достъп до банкомат, недоверена зона</t>
  </si>
  <si>
    <t xml:space="preserve">Jackpotting или ATM malware през физически достъп до банкомат</t>
  </si>
  <si>
    <t xml:space="preserve">Ключалка, видеонаблюдение</t>
  </si>
  <si>
    <t xml:space="preserve">90 дни</t>
  </si>
  <si>
    <t xml:space="preserve">R-04</t>
  </si>
  <si>
    <t xml:space="preserve">A-09 (картови данни)</t>
  </si>
  <si>
    <t xml:space="preserve">T1005 Data from Local System / T1552 Unsecured Credentials</t>
  </si>
  <si>
    <t xml:space="preserve">Картовата среда не е напълно изолирана; частично криптиране</t>
  </si>
  <si>
    <t xml:space="preserve">Изтичане на PAN данни води до PCI DSS санкции и загуба на доверие</t>
  </si>
  <si>
    <t xml:space="preserve">Частично криптиране, контрол на достъпа</t>
  </si>
  <si>
    <t xml:space="preserve">R-05</t>
  </si>
  <si>
    <t xml:space="preserve">A-10 (онлайн банкиране)</t>
  </si>
  <si>
    <t xml:space="preserve">T1110 Brute Force / T1556 Modify Authentication Process</t>
  </si>
  <si>
    <t xml:space="preserve">Клиентски вход без MFA и без ограничение на опитите</t>
  </si>
  <si>
    <t xml:space="preserve">Credential stuffing превзема клиентски акаунти в портала</t>
  </si>
  <si>
    <t xml:space="preserve">CAPTCHA</t>
  </si>
  <si>
    <t xml:space="preserve">R-06</t>
  </si>
  <si>
    <t xml:space="preserve">A-06 (мрежа)</t>
  </si>
  <si>
    <t xml:space="preserve">T1021 Remote Services (странично движение)</t>
  </si>
  <si>
    <t xml:space="preserve">Недостатъчна изолация между ATM зоната и CBS</t>
  </si>
  <si>
    <t xml:space="preserve">Компрометиран банкомат служи за трамплин към CBS</t>
  </si>
  <si>
    <t xml:space="preserve">nftables DROP по подразбиране</t>
  </si>
  <si>
    <t xml:space="preserve">1 и 9</t>
  </si>
  <si>
    <t xml:space="preserve">artefakti/s01-laboratoria/</t>
  </si>
  <si>
    <t xml:space="preserve">R-07</t>
  </si>
  <si>
    <t xml:space="preserve">A-05 (gw firewall)</t>
  </si>
  <si>
    <t xml:space="preserve">T1498 Network Denial of Service</t>
  </si>
  <si>
    <t xml:space="preserve">Единична точка на отказ, без DDoS защита</t>
  </si>
  <si>
    <t xml:space="preserve">DDoS атака спира банкирането за клиентите</t>
  </si>
  <si>
    <t xml:space="preserve">Rate limiting на gw</t>
  </si>
  <si>
    <t xml:space="preserve">прехвърляне</t>
  </si>
  <si>
    <t xml:space="preserve">R-08</t>
  </si>
  <si>
    <t xml:space="preserve">A-11 (поща)</t>
  </si>
  <si>
    <t xml:space="preserve">T1566 Phishing</t>
  </si>
  <si>
    <t xml:space="preserve">Служители без обучение, без DMARC/SPF/DKIM</t>
  </si>
  <si>
    <t xml:space="preserve">Фишинг кампания компрометира служебен акаунт</t>
  </si>
  <si>
    <t xml:space="preserve">Spam филтър</t>
  </si>
  <si>
    <t xml:space="preserve">artefakti/s03-kontroli/</t>
  </si>
  <si>
    <t xml:space="preserve">R-09</t>
  </si>
  <si>
    <t xml:space="preserve">A-15 (резервни копия)</t>
  </si>
  <si>
    <t xml:space="preserve">T1486 Data Encrypted for Impact (ransomware)</t>
  </si>
  <si>
    <t xml:space="preserve">Архивите са достъпни от производствената мрежа</t>
  </si>
  <si>
    <t xml:space="preserve">Ransomware криптира данните и достига до архивите</t>
  </si>
  <si>
    <t xml:space="preserve">Антивирус, периодични копия</t>
  </si>
  <si>
    <t xml:space="preserve">R-10</t>
  </si>
  <si>
    <t xml:space="preserve">A-08 (мониторинг)</t>
  </si>
  <si>
    <t xml:space="preserve">T1562 Impair Defenses</t>
  </si>
  <si>
    <t xml:space="preserve">Мониторингът не покрива всички хостове</t>
  </si>
  <si>
    <t xml:space="preserve">Атака остава незабелязана заради непълно покритие на SIEM</t>
  </si>
  <si>
    <t xml:space="preserve">Wazuh частично внедрен</t>
  </si>
  <si>
    <t xml:space="preserve">R-11</t>
  </si>
  <si>
    <t xml:space="preserve">A-13 (ключов админ)</t>
  </si>
  <si>
    <t xml:space="preserve">T1078 Valid Accounts / човешки фактор</t>
  </si>
  <si>
    <t xml:space="preserve">Цялото оперативно знание е у едно лице</t>
  </si>
  <si>
    <t xml:space="preserve">Напускане или компрометиране на ключов админ спира поддръжката</t>
  </si>
  <si>
    <t xml:space="preserve">Частична документация</t>
  </si>
  <si>
    <t xml:space="preserve">R-12</t>
  </si>
  <si>
    <t xml:space="preserve">A-12 (DNS/домейн)</t>
  </si>
  <si>
    <t xml:space="preserve">T1557 Adversary-in-the-Middle / T1071 Application Layer Protocol</t>
  </si>
  <si>
    <t xml:space="preserve">Липсва DNSSEC за домейните</t>
  </si>
  <si>
    <t xml:space="preserve">Подмяна на DNS отвежда клиенти към фалшив банков сайт</t>
  </si>
  <si>
    <t xml:space="preserve">R-13</t>
  </si>
  <si>
    <t xml:space="preserve">A-14 (сървърно)</t>
  </si>
  <si>
    <t xml:space="preserve">T1200 Hardware / физически и инфраструктурен отказ</t>
  </si>
  <si>
    <t xml:space="preserve">Без резервно захранване и строг контрол на достъпа</t>
  </si>
  <si>
    <t xml:space="preserve">Срив в ЦОД (ток/климатик) прекъсва всички услуги</t>
  </si>
  <si>
    <t xml:space="preserve">UPS</t>
  </si>
  <si>
    <t xml:space="preserve">R-14</t>
  </si>
  <si>
    <t xml:space="preserve">A-07 (клонови терминали)</t>
  </si>
  <si>
    <t xml:space="preserve">T1078 Valid Accounts</t>
  </si>
  <si>
    <t xml:space="preserve">Споделени акаунти на терминалите в клоновете</t>
  </si>
  <si>
    <t xml:space="preserve">Неоторизиран достъп от клон към CBS чрез споделен акаунт</t>
  </si>
  <si>
    <t xml:space="preserve">VPN до HQ</t>
  </si>
  <si>
    <t xml:space="preserve">приемане</t>
  </si>
  <si>
    <t xml:space="preserve">A-ID (актив)</t>
  </si>
  <si>
    <t xml:space="preserve">Кратко описание на риска</t>
  </si>
  <si>
    <t xml:space="preserve">Първонач. риск</t>
  </si>
  <si>
    <t xml:space="preserve">Вариант за третиране</t>
  </si>
  <si>
    <t xml:space="preserve">Планиран контрол</t>
  </si>
  <si>
    <t xml:space="preserve">Annex A код</t>
  </si>
  <si>
    <t xml:space="preserve">Час от курса</t>
  </si>
  <si>
    <t xml:space="preserve">Статус</t>
  </si>
  <si>
    <t xml:space="preserve">Остат. В</t>
  </si>
  <si>
    <t xml:space="preserve">Остат. Въ</t>
  </si>
  <si>
    <t xml:space="preserve">Доказателство / артефакт</t>
  </si>
  <si>
    <t xml:space="preserve">Пробив в CBS през публично достъпна услуга и достъп до сметки</t>
  </si>
  <si>
    <t xml:space="preserve">WAF пред CBS/портала, редовно пачване и управление на уязвимости</t>
  </si>
  <si>
    <t xml:space="preserve">A.8.23, A.8.26, A.8.8</t>
  </si>
  <si>
    <t xml:space="preserve">планиран</t>
  </si>
  <si>
    <t xml:space="preserve">Изнасяне на клиентски данни през компрометиран админ достъп</t>
  </si>
  <si>
    <t xml:space="preserve">MFA за достъп до БД + ограничение на източника по nftables</t>
  </si>
  <si>
    <t xml:space="preserve">A.8.5, A.5.15, A.8.3</t>
  </si>
  <si>
    <t xml:space="preserve">Jackpotting / malware на банкомат през физически достъп</t>
  </si>
  <si>
    <t xml:space="preserve">Заключени шасита, контрол на достъпа, whitelisting на банкоматите</t>
  </si>
  <si>
    <t xml:space="preserve">A.7.2, A.8.1, A.7.4</t>
  </si>
  <si>
    <t xml:space="preserve">Изтичане на картови данни (PAN) и PCI DSS санкции</t>
  </si>
  <si>
    <t xml:space="preserve">Пълно криптиране на картовата среда и DLP контрол</t>
  </si>
  <si>
    <t xml:space="preserve">A.8.24, A.8.12</t>
  </si>
  <si>
    <t xml:space="preserve">Credential stuffing срещу портала за онлайн банкиране</t>
  </si>
  <si>
    <t xml:space="preserve">MFA за клиенти + rate limiting и заключване на акаунти</t>
  </si>
  <si>
    <t xml:space="preserve">A.8.5, A.8.23</t>
  </si>
  <si>
    <t xml:space="preserve">ATM зоната като трамплин към CBS (странично движение)</t>
  </si>
  <si>
    <t xml:space="preserve">Строга сегментация, ATM → само ATM Manager, DROP към CBS</t>
  </si>
  <si>
    <t xml:space="preserve">A.8.22, A.8.20</t>
  </si>
  <si>
    <t xml:space="preserve">DDoS спира банкирането</t>
  </si>
  <si>
    <t xml:space="preserve">Облачна anti-DDoS услуга + rate limiting; договорна клауза/SLA</t>
  </si>
  <si>
    <t xml:space="preserve">A.8.6, A.8.20</t>
  </si>
  <si>
    <t xml:space="preserve">Фишинг компрометира служебен акаунт</t>
  </si>
  <si>
    <t xml:space="preserve">Обучение и phishing симулации + SPF/DKIM/DMARC</t>
  </si>
  <si>
    <t xml:space="preserve">A.6.3, A.8.23</t>
  </si>
  <si>
    <t xml:space="preserve">Ransomware криптира данните и архивите</t>
  </si>
  <si>
    <t xml:space="preserve">Офлайн/неизменни резервни копия + EDR и тест за възстановяване</t>
  </si>
  <si>
    <t xml:space="preserve">A.8.13, A.8.7</t>
  </si>
  <si>
    <t xml:space="preserve">Атака остава незабелязана заради непълно покритие</t>
  </si>
  <si>
    <t xml:space="preserve">Разширяване на Wazuh до всички хостове + централно логиране</t>
  </si>
  <si>
    <t xml:space="preserve">A.8.16, A.8.15</t>
  </si>
  <si>
    <t xml:space="preserve">Ключово знание концентрирано в едно лице</t>
  </si>
  <si>
    <t xml:space="preserve">Документиране на процедурите и обучение на заместник</t>
  </si>
  <si>
    <t xml:space="preserve">A.5.37, A.6.1</t>
  </si>
  <si>
    <t xml:space="preserve">Подмяна на DNS отвежда клиенти към фалшив сайт</t>
  </si>
  <si>
    <t xml:space="preserve">Активиране на DNSSEC за домейните</t>
  </si>
  <si>
    <t xml:space="preserve">A.8.20, A.8.21</t>
  </si>
  <si>
    <t xml:space="preserve">Инфраструктурен срив в ЦОД прекъсва услугите</t>
  </si>
  <si>
    <t xml:space="preserve">Резервно захранване (UPS/генератор) и контрол на достъпа</t>
  </si>
  <si>
    <t xml:space="preserve">A.7.11, A.7.5</t>
  </si>
  <si>
    <t xml:space="preserve">Под апетита; индивидуални акаунти при следваща ревизия</t>
  </si>
  <si>
    <t xml:space="preserve">A.8.5, A.5.15</t>
  </si>
  <si>
    <t xml:space="preserve">приет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</si>
</sst>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D08A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10"/>
  </cols>
  <sheetData>
    <row r="1" customFormat="false" ht="36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28.5" hidden="false" customHeight="tru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28.5" hidden="false" customHeight="true" outlineLevel="0" collapsed="false">
      <c r="A12" s="2" t="s">
        <v>8</v>
      </c>
    </row>
    <row r="13" customFormat="false" ht="28.5" hidden="false" customHeight="tru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30" hidden="false" customHeight="true" outlineLevel="0" collapsed="false">
      <c r="A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31" activeCellId="0" sqref="B3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4" min="3" style="0" width="20"/>
    <col collapsed="false" customWidth="true" hidden="false" outlineLevel="0" max="5" min="5" style="0" width="26"/>
  </cols>
  <sheetData>
    <row r="1" customFormat="false" ht="38.25" hidden="false" customHeight="true" outlineLevel="0" collapsed="false">
      <c r="A1" s="5" t="s">
        <v>17</v>
      </c>
      <c r="B1" s="6" t="n">
        <v>9</v>
      </c>
    </row>
    <row r="2" customFormat="false" ht="36" hidden="false" customHeight="true" outlineLevel="0" collapsed="false">
      <c r="A2" s="7" t="s">
        <v>18</v>
      </c>
    </row>
    <row r="4" customFormat="false" ht="30" hidden="false" customHeight="true" outlineLevel="0" collapsed="false">
      <c r="A4" s="8" t="s">
        <v>19</v>
      </c>
    </row>
    <row r="5" customFormat="false" ht="15" hidden="false" customHeight="false" outlineLevel="0" collapsed="false">
      <c r="A5" s="5" t="s">
        <v>20</v>
      </c>
      <c r="B5" s="9" t="s">
        <v>21</v>
      </c>
    </row>
    <row r="6" customFormat="false" ht="15" hidden="false" customHeight="false" outlineLevel="0" collapsed="false">
      <c r="A6" s="5" t="s">
        <v>22</v>
      </c>
      <c r="B6" s="9" t="s">
        <v>23</v>
      </c>
    </row>
    <row r="7" customFormat="false" ht="15" hidden="false" customHeight="false" outlineLevel="0" collapsed="false">
      <c r="A7" s="5" t="s">
        <v>24</v>
      </c>
      <c r="B7" s="9" t="s">
        <v>25</v>
      </c>
    </row>
    <row r="8" customFormat="false" ht="25.5" hidden="false" customHeight="true" outlineLevel="0" collapsed="false">
      <c r="A8" s="5" t="s">
        <v>26</v>
      </c>
      <c r="B8" s="9" t="s">
        <v>27</v>
      </c>
    </row>
    <row r="9" customFormat="false" ht="15" hidden="false" customHeight="false" outlineLevel="0" collapsed="false">
      <c r="A9" s="5" t="s">
        <v>28</v>
      </c>
      <c r="B9" s="9" t="s">
        <v>29</v>
      </c>
    </row>
    <row r="11" customFormat="false" ht="45" hidden="false" customHeight="true" outlineLevel="0" collapsed="false">
      <c r="A11" s="8" t="s">
        <v>30</v>
      </c>
    </row>
    <row r="12" customFormat="false" ht="15" hidden="false" customHeight="false" outlineLevel="0" collapsed="false">
      <c r="A12" s="10" t="s">
        <v>31</v>
      </c>
      <c r="B12" s="10" t="s">
        <v>32</v>
      </c>
      <c r="C12" s="10" t="s">
        <v>33</v>
      </c>
      <c r="D12" s="10" t="s">
        <v>34</v>
      </c>
      <c r="E12" s="10" t="s">
        <v>35</v>
      </c>
    </row>
    <row r="13" customFormat="false" ht="25.5" hidden="false" customHeight="true" outlineLevel="0" collapsed="false">
      <c r="A13" s="5" t="s">
        <v>36</v>
      </c>
      <c r="B13" s="9" t="s">
        <v>37</v>
      </c>
      <c r="C13" s="9" t="s">
        <v>38</v>
      </c>
      <c r="D13" s="9" t="s">
        <v>39</v>
      </c>
      <c r="E13" s="9" t="s">
        <v>40</v>
      </c>
    </row>
    <row r="14" customFormat="false" ht="25.5" hidden="false" customHeight="true" outlineLevel="0" collapsed="false">
      <c r="A14" s="5" t="s">
        <v>41</v>
      </c>
      <c r="B14" s="9" t="s">
        <v>42</v>
      </c>
      <c r="C14" s="9" t="s">
        <v>43</v>
      </c>
      <c r="D14" s="9" t="s">
        <v>44</v>
      </c>
      <c r="E14" s="9" t="s">
        <v>45</v>
      </c>
    </row>
    <row r="15" customFormat="false" ht="25.5" hidden="false" customHeight="true" outlineLevel="0" collapsed="false">
      <c r="A15" s="5" t="s">
        <v>46</v>
      </c>
      <c r="B15" s="9" t="s">
        <v>47</v>
      </c>
      <c r="C15" s="9" t="s">
        <v>48</v>
      </c>
      <c r="D15" s="9" t="s">
        <v>49</v>
      </c>
      <c r="E15" s="9" t="s">
        <v>50</v>
      </c>
    </row>
    <row r="16" customFormat="false" ht="25.5" hidden="false" customHeight="true" outlineLevel="0" collapsed="false">
      <c r="A16" s="5" t="s">
        <v>51</v>
      </c>
      <c r="B16" s="9" t="s">
        <v>52</v>
      </c>
      <c r="C16" s="9" t="s">
        <v>53</v>
      </c>
      <c r="D16" s="9" t="s">
        <v>54</v>
      </c>
      <c r="E16" s="9" t="s">
        <v>55</v>
      </c>
    </row>
    <row r="17" customFormat="false" ht="25.5" hidden="false" customHeight="true" outlineLevel="0" collapsed="false">
      <c r="A17" s="5" t="s">
        <v>56</v>
      </c>
      <c r="B17" s="9" t="s">
        <v>57</v>
      </c>
      <c r="C17" s="9" t="s">
        <v>58</v>
      </c>
      <c r="D17" s="9" t="s">
        <v>59</v>
      </c>
      <c r="E17" s="9" t="s">
        <v>60</v>
      </c>
    </row>
    <row r="19" customFormat="false" ht="30" hidden="false" customHeight="true" outlineLevel="0" collapsed="false">
      <c r="A19" s="8" t="s">
        <v>61</v>
      </c>
    </row>
    <row r="20" customFormat="false" ht="15" hidden="false" customHeight="false" outlineLevel="0" collapsed="false">
      <c r="A20" s="10" t="s">
        <v>31</v>
      </c>
      <c r="B20" s="10" t="s">
        <v>62</v>
      </c>
      <c r="C20" s="10" t="s">
        <v>63</v>
      </c>
      <c r="D20" s="10" t="s">
        <v>64</v>
      </c>
    </row>
    <row r="21" customFormat="false" ht="25.5" hidden="false" customHeight="true" outlineLevel="0" collapsed="false">
      <c r="A21" s="5" t="s">
        <v>65</v>
      </c>
      <c r="B21" s="9" t="s">
        <v>66</v>
      </c>
      <c r="C21" s="11"/>
      <c r="D21" s="9" t="s">
        <v>67</v>
      </c>
    </row>
    <row r="22" customFormat="false" ht="15" hidden="false" customHeight="false" outlineLevel="0" collapsed="false">
      <c r="A22" s="5" t="s">
        <v>68</v>
      </c>
      <c r="B22" s="9" t="s">
        <v>69</v>
      </c>
      <c r="C22" s="12"/>
      <c r="D22" s="9" t="s">
        <v>70</v>
      </c>
    </row>
    <row r="23" customFormat="false" ht="15" hidden="false" customHeight="false" outlineLevel="0" collapsed="false">
      <c r="A23" s="5" t="s">
        <v>71</v>
      </c>
      <c r="B23" s="9" t="s">
        <v>72</v>
      </c>
      <c r="C23" s="13"/>
      <c r="D23" s="9" t="s">
        <v>73</v>
      </c>
    </row>
    <row r="24" customFormat="false" ht="38.25" hidden="false" customHeight="true" outlineLevel="0" collapsed="false">
      <c r="A24" s="5" t="s">
        <v>74</v>
      </c>
      <c r="B24" s="9" t="s">
        <v>75</v>
      </c>
      <c r="C24" s="14"/>
      <c r="D24" s="9" t="s">
        <v>76</v>
      </c>
    </row>
    <row r="26" customFormat="false" ht="15" hidden="false" customHeight="false" outlineLevel="0" collapsed="false">
      <c r="A26" s="8" t="s">
        <v>77</v>
      </c>
    </row>
    <row r="27" customFormat="false" ht="25.5" hidden="false" customHeight="true" outlineLevel="0" collapsed="false">
      <c r="A27" s="5" t="s">
        <v>78</v>
      </c>
      <c r="B27" s="9" t="s">
        <v>79</v>
      </c>
    </row>
    <row r="28" customFormat="false" ht="25.5" hidden="false" customHeight="true" outlineLevel="0" collapsed="false">
      <c r="A28" s="5" t="s">
        <v>80</v>
      </c>
      <c r="B28" s="9" t="s">
        <v>81</v>
      </c>
    </row>
    <row r="29" customFormat="false" ht="15" hidden="false" customHeight="false" outlineLevel="0" collapsed="false">
      <c r="A29" s="5" t="s">
        <v>82</v>
      </c>
      <c r="B29" s="9" t="s">
        <v>83</v>
      </c>
    </row>
    <row r="30" customFormat="false" ht="25.5" hidden="false" customHeight="true" outlineLevel="0" collapsed="false">
      <c r="A30" s="5" t="s">
        <v>84</v>
      </c>
      <c r="B30" s="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3" activeCellId="0" sqref="H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5" t="s">
        <v>86</v>
      </c>
      <c r="B1" s="15" t="s">
        <v>87</v>
      </c>
      <c r="C1" s="15" t="s">
        <v>88</v>
      </c>
      <c r="D1" s="15" t="s">
        <v>89</v>
      </c>
      <c r="E1" s="15" t="s">
        <v>90</v>
      </c>
      <c r="F1" s="15" t="s">
        <v>91</v>
      </c>
      <c r="G1" s="15" t="s">
        <v>92</v>
      </c>
      <c r="H1" s="15" t="s">
        <v>93</v>
      </c>
      <c r="I1" s="15" t="s">
        <v>94</v>
      </c>
    </row>
    <row r="2" customFormat="false" ht="25.5" hidden="false" customHeight="true" outlineLevel="0" collapsed="false">
      <c r="A2" s="16" t="s">
        <v>95</v>
      </c>
      <c r="B2" s="16" t="s">
        <v>96</v>
      </c>
      <c r="C2" s="16" t="s">
        <v>97</v>
      </c>
      <c r="D2" s="16" t="s">
        <v>98</v>
      </c>
      <c r="E2" s="16" t="s">
        <v>99</v>
      </c>
      <c r="F2" s="16" t="s">
        <v>100</v>
      </c>
      <c r="G2" s="16" t="s">
        <v>101</v>
      </c>
      <c r="H2" s="16" t="s">
        <v>102</v>
      </c>
      <c r="I2" s="17" t="s">
        <v>103</v>
      </c>
    </row>
    <row r="3" customFormat="false" ht="25.5" hidden="false" customHeight="true" outlineLevel="0" collapsed="false">
      <c r="A3" s="16" t="s">
        <v>104</v>
      </c>
      <c r="B3" s="16" t="s">
        <v>105</v>
      </c>
      <c r="C3" s="16" t="s">
        <v>97</v>
      </c>
      <c r="D3" s="16" t="s">
        <v>98</v>
      </c>
      <c r="E3" s="16" t="s">
        <v>99</v>
      </c>
      <c r="F3" s="16" t="s">
        <v>106</v>
      </c>
      <c r="G3" s="16" t="s">
        <v>107</v>
      </c>
      <c r="H3" s="16" t="s">
        <v>108</v>
      </c>
      <c r="I3" s="17" t="s">
        <v>109</v>
      </c>
    </row>
    <row r="4" customFormat="false" ht="25.5" hidden="false" customHeight="true" outlineLevel="0" collapsed="false">
      <c r="A4" s="16" t="s">
        <v>110</v>
      </c>
      <c r="B4" s="16" t="s">
        <v>111</v>
      </c>
      <c r="C4" s="16" t="s">
        <v>112</v>
      </c>
      <c r="D4" s="16" t="s">
        <v>113</v>
      </c>
      <c r="E4" s="16" t="s">
        <v>114</v>
      </c>
      <c r="F4" s="16" t="s">
        <v>100</v>
      </c>
      <c r="G4" s="16" t="s">
        <v>115</v>
      </c>
      <c r="H4" s="16" t="s">
        <v>116</v>
      </c>
      <c r="I4" s="17" t="s">
        <v>117</v>
      </c>
    </row>
    <row r="5" customFormat="false" ht="25.5" hidden="false" customHeight="true" outlineLevel="0" collapsed="false">
      <c r="A5" s="16" t="s">
        <v>118</v>
      </c>
      <c r="B5" s="16" t="s">
        <v>119</v>
      </c>
      <c r="C5" s="16" t="s">
        <v>120</v>
      </c>
      <c r="D5" s="16" t="s">
        <v>121</v>
      </c>
      <c r="E5" s="16" t="s">
        <v>122</v>
      </c>
      <c r="F5" s="16" t="s">
        <v>106</v>
      </c>
      <c r="G5" s="16" t="s">
        <v>123</v>
      </c>
      <c r="H5" s="16" t="s">
        <v>104</v>
      </c>
      <c r="I5" s="17" t="s">
        <v>124</v>
      </c>
    </row>
    <row r="6" customFormat="false" ht="25.5" hidden="false" customHeight="true" outlineLevel="0" collapsed="false">
      <c r="A6" s="16" t="s">
        <v>125</v>
      </c>
      <c r="B6" s="16" t="s">
        <v>126</v>
      </c>
      <c r="C6" s="16" t="s">
        <v>120</v>
      </c>
      <c r="D6" s="16" t="s">
        <v>98</v>
      </c>
      <c r="E6" s="16" t="s">
        <v>127</v>
      </c>
      <c r="F6" s="16" t="s">
        <v>128</v>
      </c>
      <c r="G6" s="16" t="s">
        <v>129</v>
      </c>
      <c r="H6" s="16" t="s">
        <v>130</v>
      </c>
      <c r="I6" s="17" t="s">
        <v>131</v>
      </c>
    </row>
    <row r="7" customFormat="false" ht="25.5" hidden="false" customHeight="true" outlineLevel="0" collapsed="false">
      <c r="A7" s="16" t="s">
        <v>130</v>
      </c>
      <c r="B7" s="16" t="s">
        <v>132</v>
      </c>
      <c r="C7" s="16" t="s">
        <v>133</v>
      </c>
      <c r="D7" s="16" t="s">
        <v>98</v>
      </c>
      <c r="E7" s="16" t="s">
        <v>127</v>
      </c>
      <c r="F7" s="16" t="s">
        <v>128</v>
      </c>
      <c r="G7" s="16" t="s">
        <v>134</v>
      </c>
      <c r="H7" s="16" t="s">
        <v>125</v>
      </c>
      <c r="I7" s="17" t="s">
        <v>135</v>
      </c>
    </row>
    <row r="8" customFormat="false" ht="23.85" hidden="false" customHeight="false" outlineLevel="0" collapsed="false">
      <c r="A8" s="16" t="s">
        <v>136</v>
      </c>
      <c r="B8" s="16" t="s">
        <v>137</v>
      </c>
      <c r="C8" s="16" t="s">
        <v>120</v>
      </c>
      <c r="D8" s="16" t="s">
        <v>138</v>
      </c>
      <c r="E8" s="16" t="s">
        <v>99</v>
      </c>
      <c r="F8" s="16" t="s">
        <v>106</v>
      </c>
      <c r="G8" s="16" t="s">
        <v>139</v>
      </c>
      <c r="H8" s="16" t="s">
        <v>140</v>
      </c>
      <c r="I8" s="17" t="s">
        <v>141</v>
      </c>
    </row>
    <row r="9" customFormat="false" ht="23.85" hidden="false" customHeight="false" outlineLevel="0" collapsed="false">
      <c r="A9" s="16" t="s">
        <v>142</v>
      </c>
      <c r="B9" s="16" t="s">
        <v>143</v>
      </c>
      <c r="C9" s="16" t="s">
        <v>97</v>
      </c>
      <c r="D9" s="16" t="s">
        <v>113</v>
      </c>
      <c r="E9" s="16" t="s">
        <v>144</v>
      </c>
      <c r="F9" s="16" t="s">
        <v>128</v>
      </c>
      <c r="G9" s="16" t="s">
        <v>145</v>
      </c>
      <c r="H9" s="16" t="s">
        <v>130</v>
      </c>
      <c r="I9" s="16" t="s">
        <v>146</v>
      </c>
    </row>
    <row r="10" customFormat="false" ht="23.85" hidden="false" customHeight="false" outlineLevel="0" collapsed="false">
      <c r="A10" s="16" t="s">
        <v>147</v>
      </c>
      <c r="B10" s="16" t="s">
        <v>148</v>
      </c>
      <c r="C10" s="16" t="s">
        <v>112</v>
      </c>
      <c r="D10" s="16" t="s">
        <v>113</v>
      </c>
      <c r="E10" s="16" t="s">
        <v>114</v>
      </c>
      <c r="F10" s="16" t="s">
        <v>100</v>
      </c>
      <c r="G10" s="16" t="s">
        <v>149</v>
      </c>
      <c r="H10" s="16" t="s">
        <v>110</v>
      </c>
      <c r="I10" s="16" t="s">
        <v>150</v>
      </c>
    </row>
    <row r="11" customFormat="false" ht="23.85" hidden="false" customHeight="false" outlineLevel="0" collapsed="false">
      <c r="A11" s="16" t="s">
        <v>151</v>
      </c>
      <c r="B11" s="16" t="s">
        <v>152</v>
      </c>
      <c r="C11" s="16" t="s">
        <v>97</v>
      </c>
      <c r="D11" s="16" t="s">
        <v>98</v>
      </c>
      <c r="E11" s="16" t="s">
        <v>99</v>
      </c>
      <c r="F11" s="16" t="s">
        <v>106</v>
      </c>
      <c r="G11" s="16" t="s">
        <v>153</v>
      </c>
      <c r="H11" s="16" t="s">
        <v>154</v>
      </c>
      <c r="I11" s="16" t="s">
        <v>155</v>
      </c>
    </row>
    <row r="12" customFormat="false" ht="23.85" hidden="false" customHeight="false" outlineLevel="0" collapsed="false">
      <c r="A12" s="16" t="s">
        <v>156</v>
      </c>
      <c r="B12" s="16" t="s">
        <v>157</v>
      </c>
      <c r="C12" s="16" t="s">
        <v>158</v>
      </c>
      <c r="D12" s="16" t="s">
        <v>98</v>
      </c>
      <c r="E12" s="16" t="s">
        <v>99</v>
      </c>
      <c r="F12" s="16" t="s">
        <v>128</v>
      </c>
      <c r="G12" s="16" t="s">
        <v>159</v>
      </c>
      <c r="H12" s="16" t="s">
        <v>160</v>
      </c>
      <c r="I12" s="16" t="s">
        <v>161</v>
      </c>
    </row>
    <row r="13" customFormat="false" ht="23.85" hidden="false" customHeight="false" outlineLevel="0" collapsed="false">
      <c r="A13" s="16" t="s">
        <v>160</v>
      </c>
      <c r="B13" s="16" t="s">
        <v>162</v>
      </c>
      <c r="C13" s="16" t="s">
        <v>158</v>
      </c>
      <c r="D13" s="16" t="s">
        <v>98</v>
      </c>
      <c r="E13" s="16" t="s">
        <v>127</v>
      </c>
      <c r="F13" s="16" t="s">
        <v>128</v>
      </c>
      <c r="G13" s="16" t="s">
        <v>163</v>
      </c>
      <c r="H13" s="16" t="s">
        <v>164</v>
      </c>
      <c r="I13" s="16" t="s">
        <v>165</v>
      </c>
    </row>
    <row r="14" customFormat="false" ht="23.85" hidden="false" customHeight="false" outlineLevel="0" collapsed="false">
      <c r="A14" s="16" t="s">
        <v>166</v>
      </c>
      <c r="B14" s="16" t="s">
        <v>167</v>
      </c>
      <c r="C14" s="16" t="s">
        <v>168</v>
      </c>
      <c r="D14" s="16" t="s">
        <v>169</v>
      </c>
      <c r="E14" s="16" t="s">
        <v>164</v>
      </c>
      <c r="F14" s="16" t="s">
        <v>128</v>
      </c>
      <c r="G14" s="16" t="s">
        <v>170</v>
      </c>
      <c r="H14" s="16" t="s">
        <v>164</v>
      </c>
      <c r="I14" s="16" t="s">
        <v>171</v>
      </c>
    </row>
    <row r="15" customFormat="false" ht="15" hidden="false" customHeight="false" outlineLevel="0" collapsed="false">
      <c r="A15" s="16" t="s">
        <v>116</v>
      </c>
      <c r="B15" s="16" t="s">
        <v>172</v>
      </c>
      <c r="C15" s="16" t="s">
        <v>173</v>
      </c>
      <c r="D15" s="16" t="s">
        <v>169</v>
      </c>
      <c r="E15" s="16" t="s">
        <v>174</v>
      </c>
      <c r="F15" s="16" t="s">
        <v>106</v>
      </c>
      <c r="G15" s="16" t="s">
        <v>175</v>
      </c>
      <c r="H15" s="16" t="s">
        <v>164</v>
      </c>
      <c r="I15" s="16" t="s">
        <v>176</v>
      </c>
    </row>
    <row r="16" customFormat="false" ht="23.85" hidden="false" customHeight="false" outlineLevel="0" collapsed="false">
      <c r="A16" s="16" t="s">
        <v>177</v>
      </c>
      <c r="B16" s="16" t="s">
        <v>178</v>
      </c>
      <c r="C16" s="16" t="s">
        <v>112</v>
      </c>
      <c r="D16" s="16" t="s">
        <v>98</v>
      </c>
      <c r="E16" s="16" t="s">
        <v>99</v>
      </c>
      <c r="F16" s="16" t="s">
        <v>100</v>
      </c>
      <c r="G16" s="16" t="s">
        <v>179</v>
      </c>
      <c r="H16" s="16" t="s">
        <v>180</v>
      </c>
      <c r="I16" s="16" t="s">
        <v>181</v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6"/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6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6"/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6"/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6"/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</row>
  </sheetData>
  <dataValidations count="2">
    <dataValidation allowBlank="true" errorStyle="stop" operator="between" showDropDown="false" showErrorMessage="false" showInputMessage="false" sqref="C2:C210" type="list">
      <formula1>"информация,софтуер,хардуер,услуга,мрежа,хора,помещение"</formula1>
      <formula2>0</formula2>
    </dataValidation>
    <dataValidation allowBlank="true" errorStyle="stop" operator="between" showDropDown="false" showErrorMessage="false" showInputMessage="false" sqref="F2:F210" type="list">
      <formula1>"публична,вътрешна,поверителна,строго поверителна"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8" min="7" style="0" width="5"/>
    <col collapsed="false" customWidth="true" hidden="false" outlineLevel="0" max="9" min="9" style="0" width="7"/>
    <col collapsed="false" customWidth="true" hidden="false" outlineLevel="0" max="11" min="10" style="0" width="9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7" min="16" style="0" width="8"/>
    <col collapsed="false" customWidth="true" hidden="false" outlineLevel="0" max="18" min="18" style="0" width="11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15" t="s">
        <v>182</v>
      </c>
      <c r="B1" s="15" t="s">
        <v>86</v>
      </c>
      <c r="C1" s="15" t="s">
        <v>183</v>
      </c>
      <c r="D1" s="15" t="s">
        <v>184</v>
      </c>
      <c r="E1" s="15" t="s">
        <v>185</v>
      </c>
      <c r="F1" s="15" t="s">
        <v>186</v>
      </c>
      <c r="G1" s="15" t="s">
        <v>187</v>
      </c>
      <c r="H1" s="15" t="s">
        <v>188</v>
      </c>
      <c r="I1" s="15" t="s">
        <v>189</v>
      </c>
      <c r="J1" s="15" t="s">
        <v>31</v>
      </c>
      <c r="K1" s="15" t="s">
        <v>190</v>
      </c>
      <c r="L1" s="15" t="s">
        <v>191</v>
      </c>
      <c r="M1" s="15" t="s">
        <v>192</v>
      </c>
      <c r="N1" s="15" t="s">
        <v>193</v>
      </c>
      <c r="O1" s="15" t="s">
        <v>194</v>
      </c>
      <c r="P1" s="15" t="s">
        <v>195</v>
      </c>
      <c r="Q1" s="15" t="s">
        <v>196</v>
      </c>
      <c r="R1" s="15" t="s">
        <v>197</v>
      </c>
      <c r="S1" s="15" t="s">
        <v>198</v>
      </c>
    </row>
    <row r="2" customFormat="false" ht="63.75" hidden="false" customHeight="true" outlineLevel="0" collapsed="false">
      <c r="A2" s="16" t="s">
        <v>199</v>
      </c>
      <c r="B2" s="16" t="s">
        <v>200</v>
      </c>
      <c r="C2" s="16" t="s">
        <v>201</v>
      </c>
      <c r="D2" s="16" t="s">
        <v>202</v>
      </c>
      <c r="E2" s="16" t="s">
        <v>203</v>
      </c>
      <c r="F2" s="16" t="s">
        <v>204</v>
      </c>
      <c r="G2" s="16" t="n">
        <v>4</v>
      </c>
      <c r="H2" s="16" t="n">
        <v>5</v>
      </c>
      <c r="I2" s="18" t="n">
        <f aca="false">IF(OR(G2="",H2=""),"",G2*H2)</f>
        <v>20</v>
      </c>
      <c r="J2" s="19" t="str">
        <f aca="false">IF(I2="","",IF(I2&lt;=4,"нисък",IF(I2&lt;=9,"умерен",IF(I2&lt;=15,"висок","критичен"))))</f>
        <v>критичен</v>
      </c>
      <c r="K2" s="19" t="str">
        <f aca="false">IF(I2="","",IF(I2&lt;=Скали!$B$1,"да","не"))</f>
        <v>не</v>
      </c>
      <c r="L2" s="16" t="s">
        <v>205</v>
      </c>
      <c r="M2" s="16" t="s">
        <v>98</v>
      </c>
      <c r="N2" s="16" t="s">
        <v>206</v>
      </c>
      <c r="O2" s="16" t="s">
        <v>207</v>
      </c>
      <c r="P2" s="16" t="n">
        <v>2</v>
      </c>
      <c r="Q2" s="16" t="n">
        <v>4</v>
      </c>
      <c r="R2" s="18" t="n">
        <f aca="false">IF(OR(P2="",Q2=""),"",P2*Q2)</f>
        <v>8</v>
      </c>
      <c r="S2" s="17" t="s">
        <v>208</v>
      </c>
    </row>
    <row r="3" customFormat="false" ht="25.5" hidden="false" customHeight="true" outlineLevel="0" collapsed="false">
      <c r="A3" s="16" t="s">
        <v>209</v>
      </c>
      <c r="B3" s="16" t="s">
        <v>210</v>
      </c>
      <c r="C3" s="16" t="s">
        <v>211</v>
      </c>
      <c r="D3" s="16" t="s">
        <v>212</v>
      </c>
      <c r="E3" s="16" t="s">
        <v>213</v>
      </c>
      <c r="F3" s="16" t="s">
        <v>214</v>
      </c>
      <c r="G3" s="16" t="n">
        <v>3</v>
      </c>
      <c r="H3" s="16" t="n">
        <v>5</v>
      </c>
      <c r="I3" s="18" t="n">
        <f aca="false">IF(OR(G3="",H3=""),"",G3*H3)</f>
        <v>15</v>
      </c>
      <c r="J3" s="19" t="str">
        <f aca="false">IF(I3="","",IF(I3&lt;=4,"нисък",IF(I3&lt;=9,"умерен",IF(I3&lt;=15,"висок","критичен"))))</f>
        <v>висок</v>
      </c>
      <c r="K3" s="19" t="str">
        <f aca="false">IF(I3="","",IF(I3&lt;=Скали!$B$1,"да","не"))</f>
        <v>не</v>
      </c>
      <c r="L3" s="16" t="s">
        <v>205</v>
      </c>
      <c r="M3" s="16" t="s">
        <v>113</v>
      </c>
      <c r="N3" s="16" t="s">
        <v>206</v>
      </c>
      <c r="O3" s="16" t="s">
        <v>164</v>
      </c>
      <c r="P3" s="16" t="n">
        <v>1</v>
      </c>
      <c r="Q3" s="16" t="n">
        <v>5</v>
      </c>
      <c r="R3" s="18" t="n">
        <f aca="false">IF(OR(P3="",Q3=""),"",P3*Q3)</f>
        <v>5</v>
      </c>
      <c r="S3" s="17" t="s">
        <v>215</v>
      </c>
    </row>
    <row r="4" customFormat="false" ht="35.05" hidden="false" customHeight="false" outlineLevel="0" collapsed="false">
      <c r="A4" s="16" t="s">
        <v>216</v>
      </c>
      <c r="B4" s="16" t="s">
        <v>217</v>
      </c>
      <c r="C4" s="16" t="s">
        <v>218</v>
      </c>
      <c r="D4" s="16" t="s">
        <v>219</v>
      </c>
      <c r="E4" s="16" t="s">
        <v>220</v>
      </c>
      <c r="F4" s="16" t="s">
        <v>221</v>
      </c>
      <c r="G4" s="16" t="n">
        <v>3</v>
      </c>
      <c r="H4" s="16" t="n">
        <v>4</v>
      </c>
      <c r="I4" s="18" t="n">
        <f aca="false">IF(OR(G4="",H4=""),"",G4*H4)</f>
        <v>12</v>
      </c>
      <c r="J4" s="19" t="str">
        <f aca="false">IF(I4="","",IF(I4&lt;=4,"нисък",IF(I4&lt;=9,"умерен",IF(I4&lt;=15,"висок","критичен"))))</f>
        <v>висок</v>
      </c>
      <c r="K4" s="19" t="str">
        <f aca="false">IF(I4="","",IF(I4&lt;=Скали!$B$1,"да","не"))</f>
        <v>не</v>
      </c>
      <c r="L4" s="16" t="s">
        <v>205</v>
      </c>
      <c r="M4" s="16" t="s">
        <v>121</v>
      </c>
      <c r="N4" s="16" t="s">
        <v>222</v>
      </c>
      <c r="O4" s="16" t="s">
        <v>164</v>
      </c>
      <c r="P4" s="16" t="n">
        <v>2</v>
      </c>
      <c r="Q4" s="16" t="n">
        <v>3</v>
      </c>
      <c r="R4" s="18" t="n">
        <f aca="false">IF(OR(P4="",Q4=""),"",P4*Q4)</f>
        <v>6</v>
      </c>
      <c r="S4" s="16" t="s">
        <v>164</v>
      </c>
    </row>
    <row r="5" customFormat="false" ht="35.05" hidden="false" customHeight="false" outlineLevel="0" collapsed="false">
      <c r="A5" s="16" t="s">
        <v>223</v>
      </c>
      <c r="B5" s="16" t="s">
        <v>224</v>
      </c>
      <c r="C5" s="16" t="s">
        <v>225</v>
      </c>
      <c r="D5" s="16" t="s">
        <v>226</v>
      </c>
      <c r="E5" s="16" t="s">
        <v>227</v>
      </c>
      <c r="F5" s="16" t="s">
        <v>228</v>
      </c>
      <c r="G5" s="16" t="n">
        <v>2</v>
      </c>
      <c r="H5" s="16" t="n">
        <v>5</v>
      </c>
      <c r="I5" s="18" t="n">
        <f aca="false">IF(OR(G5="",H5=""),"",G5*H5)</f>
        <v>10</v>
      </c>
      <c r="J5" s="19" t="str">
        <f aca="false">IF(I5="","",IF(I5&lt;=4,"нисък",IF(I5&lt;=9,"умерен",IF(I5&lt;=15,"висок","критичен"))))</f>
        <v>висок</v>
      </c>
      <c r="K5" s="19" t="str">
        <f aca="false">IF(I5="","",IF(I5&lt;=Скали!$B$1,"да","не"))</f>
        <v>не</v>
      </c>
      <c r="L5" s="16" t="s">
        <v>205</v>
      </c>
      <c r="M5" s="16" t="s">
        <v>113</v>
      </c>
      <c r="N5" s="16" t="s">
        <v>206</v>
      </c>
      <c r="O5" s="16" t="s">
        <v>164</v>
      </c>
      <c r="P5" s="16" t="n">
        <v>1</v>
      </c>
      <c r="Q5" s="16" t="n">
        <v>5</v>
      </c>
      <c r="R5" s="18" t="n">
        <f aca="false">IF(OR(P5="",Q5=""),"",P5*Q5)</f>
        <v>5</v>
      </c>
      <c r="S5" s="16" t="s">
        <v>164</v>
      </c>
    </row>
    <row r="6" customFormat="false" ht="35.05" hidden="false" customHeight="false" outlineLevel="0" collapsed="false">
      <c r="A6" s="16" t="s">
        <v>229</v>
      </c>
      <c r="B6" s="16" t="s">
        <v>230</v>
      </c>
      <c r="C6" s="16" t="s">
        <v>231</v>
      </c>
      <c r="D6" s="16" t="s">
        <v>232</v>
      </c>
      <c r="E6" s="16" t="s">
        <v>233</v>
      </c>
      <c r="F6" s="16" t="s">
        <v>234</v>
      </c>
      <c r="G6" s="16" t="n">
        <v>4</v>
      </c>
      <c r="H6" s="16" t="n">
        <v>4</v>
      </c>
      <c r="I6" s="18" t="n">
        <f aca="false">IF(OR(G6="",H6=""),"",G6*H6)</f>
        <v>16</v>
      </c>
      <c r="J6" s="19" t="str">
        <f aca="false">IF(I6="","",IF(I6&lt;=4,"нисък",IF(I6&lt;=9,"умерен",IF(I6&lt;=15,"висок","критичен"))))</f>
        <v>критичен</v>
      </c>
      <c r="K6" s="19" t="str">
        <f aca="false">IF(I6="","",IF(I6&lt;=Скали!$B$1,"да","не"))</f>
        <v>не</v>
      </c>
      <c r="L6" s="16" t="s">
        <v>205</v>
      </c>
      <c r="M6" s="16" t="s">
        <v>98</v>
      </c>
      <c r="N6" s="16" t="s">
        <v>206</v>
      </c>
      <c r="O6" s="16" t="s">
        <v>207</v>
      </c>
      <c r="P6" s="16" t="n">
        <v>2</v>
      </c>
      <c r="Q6" s="16" t="n">
        <v>3</v>
      </c>
      <c r="R6" s="18" t="n">
        <f aca="false">IF(OR(P6="",Q6=""),"",P6*Q6)</f>
        <v>6</v>
      </c>
      <c r="S6" s="16" t="s">
        <v>215</v>
      </c>
    </row>
    <row r="7" customFormat="false" ht="23.85" hidden="false" customHeight="false" outlineLevel="0" collapsed="false">
      <c r="A7" s="16" t="s">
        <v>235</v>
      </c>
      <c r="B7" s="16" t="s">
        <v>236</v>
      </c>
      <c r="C7" s="16" t="s">
        <v>237</v>
      </c>
      <c r="D7" s="16" t="s">
        <v>238</v>
      </c>
      <c r="E7" s="16" t="s">
        <v>239</v>
      </c>
      <c r="F7" s="16" t="s">
        <v>240</v>
      </c>
      <c r="G7" s="16" t="n">
        <v>3</v>
      </c>
      <c r="H7" s="16" t="n">
        <v>5</v>
      </c>
      <c r="I7" s="18" t="n">
        <f aca="false">IF(OR(G7="",H7=""),"",G7*H7)</f>
        <v>15</v>
      </c>
      <c r="J7" s="19" t="str">
        <f aca="false">IF(I7="","",IF(I7&lt;=4,"нисък",IF(I7&lt;=9,"умерен",IF(I7&lt;=15,"висок","критичен"))))</f>
        <v>висок</v>
      </c>
      <c r="K7" s="19" t="str">
        <f aca="false">IF(I7="","",IF(I7&lt;=Скали!$B$1,"да","не"))</f>
        <v>не</v>
      </c>
      <c r="L7" s="16" t="s">
        <v>205</v>
      </c>
      <c r="M7" s="16" t="s">
        <v>127</v>
      </c>
      <c r="N7" s="16" t="s">
        <v>206</v>
      </c>
      <c r="O7" s="16" t="s">
        <v>241</v>
      </c>
      <c r="P7" s="16" t="n">
        <v>2</v>
      </c>
      <c r="Q7" s="16" t="n">
        <v>4</v>
      </c>
      <c r="R7" s="18" t="n">
        <f aca="false">IF(OR(P7="",Q7=""),"",P7*Q7)</f>
        <v>8</v>
      </c>
      <c r="S7" s="16" t="s">
        <v>242</v>
      </c>
    </row>
    <row r="8" customFormat="false" ht="23.85" hidden="false" customHeight="false" outlineLevel="0" collapsed="false">
      <c r="A8" s="16" t="s">
        <v>243</v>
      </c>
      <c r="B8" s="16" t="s">
        <v>244</v>
      </c>
      <c r="C8" s="16" t="s">
        <v>245</v>
      </c>
      <c r="D8" s="16" t="s">
        <v>246</v>
      </c>
      <c r="E8" s="16" t="s">
        <v>247</v>
      </c>
      <c r="F8" s="16" t="s">
        <v>248</v>
      </c>
      <c r="G8" s="16" t="n">
        <v>3</v>
      </c>
      <c r="H8" s="16" t="n">
        <v>4</v>
      </c>
      <c r="I8" s="18" t="n">
        <f aca="false">IF(OR(G8="",H8=""),"",G8*H8)</f>
        <v>12</v>
      </c>
      <c r="J8" s="19" t="str">
        <f aca="false">IF(I8="","",IF(I8&lt;=4,"нисък",IF(I8&lt;=9,"умерен",IF(I8&lt;=15,"висок","критичен"))))</f>
        <v>висок</v>
      </c>
      <c r="K8" s="19" t="str">
        <f aca="false">IF(I8="","",IF(I8&lt;=Скали!$B$1,"да","не"))</f>
        <v>не</v>
      </c>
      <c r="L8" s="16" t="s">
        <v>249</v>
      </c>
      <c r="M8" s="16" t="s">
        <v>98</v>
      </c>
      <c r="N8" s="16" t="s">
        <v>222</v>
      </c>
      <c r="O8" s="16" t="s">
        <v>207</v>
      </c>
      <c r="P8" s="16" t="n">
        <v>2</v>
      </c>
      <c r="Q8" s="16" t="n">
        <v>3</v>
      </c>
      <c r="R8" s="18" t="n">
        <f aca="false">IF(OR(P8="",Q8=""),"",P8*Q8)</f>
        <v>6</v>
      </c>
      <c r="S8" s="16" t="s">
        <v>164</v>
      </c>
    </row>
    <row r="9" customFormat="false" ht="23.85" hidden="false" customHeight="false" outlineLevel="0" collapsed="false">
      <c r="A9" s="16" t="s">
        <v>250</v>
      </c>
      <c r="B9" s="16" t="s">
        <v>251</v>
      </c>
      <c r="C9" s="16" t="s">
        <v>252</v>
      </c>
      <c r="D9" s="16" t="s">
        <v>253</v>
      </c>
      <c r="E9" s="16" t="s">
        <v>254</v>
      </c>
      <c r="F9" s="16" t="s">
        <v>255</v>
      </c>
      <c r="G9" s="16" t="n">
        <v>4</v>
      </c>
      <c r="H9" s="16" t="n">
        <v>3</v>
      </c>
      <c r="I9" s="18" t="n">
        <f aca="false">IF(OR(G9="",H9=""),"",G9*H9)</f>
        <v>12</v>
      </c>
      <c r="J9" s="19" t="str">
        <f aca="false">IF(I9="","",IF(I9&lt;=4,"нисък",IF(I9&lt;=9,"умерен",IF(I9&lt;=15,"висок","критичен"))))</f>
        <v>висок</v>
      </c>
      <c r="K9" s="19" t="str">
        <f aca="false">IF(I9="","",IF(I9&lt;=Скали!$B$1,"да","не"))</f>
        <v>не</v>
      </c>
      <c r="L9" s="16" t="s">
        <v>205</v>
      </c>
      <c r="M9" s="16" t="s">
        <v>113</v>
      </c>
      <c r="N9" s="16" t="s">
        <v>222</v>
      </c>
      <c r="O9" s="16" t="s">
        <v>164</v>
      </c>
      <c r="P9" s="16" t="n">
        <v>2</v>
      </c>
      <c r="Q9" s="16" t="n">
        <v>2</v>
      </c>
      <c r="R9" s="18" t="n">
        <f aca="false">IF(OR(P9="",Q9=""),"",P9*Q9)</f>
        <v>4</v>
      </c>
      <c r="S9" s="16" t="s">
        <v>256</v>
      </c>
    </row>
    <row r="10" customFormat="false" ht="35.05" hidden="false" customHeight="false" outlineLevel="0" collapsed="false">
      <c r="A10" s="16" t="s">
        <v>257</v>
      </c>
      <c r="B10" s="16" t="s">
        <v>258</v>
      </c>
      <c r="C10" s="16" t="s">
        <v>259</v>
      </c>
      <c r="D10" s="16" t="s">
        <v>260</v>
      </c>
      <c r="E10" s="16" t="s">
        <v>261</v>
      </c>
      <c r="F10" s="16" t="s">
        <v>262</v>
      </c>
      <c r="G10" s="16" t="n">
        <v>3</v>
      </c>
      <c r="H10" s="16" t="n">
        <v>5</v>
      </c>
      <c r="I10" s="18" t="n">
        <f aca="false">IF(OR(G10="",H10=""),"",G10*H10)</f>
        <v>15</v>
      </c>
      <c r="J10" s="19" t="str">
        <f aca="false">IF(I10="","",IF(I10&lt;=4,"нисък",IF(I10&lt;=9,"умерен",IF(I10&lt;=15,"висок","критичен"))))</f>
        <v>висок</v>
      </c>
      <c r="K10" s="19" t="str">
        <f aca="false">IF(I10="","",IF(I10&lt;=Скали!$B$1,"да","не"))</f>
        <v>не</v>
      </c>
      <c r="L10" s="16" t="s">
        <v>205</v>
      </c>
      <c r="M10" s="16" t="s">
        <v>98</v>
      </c>
      <c r="N10" s="16" t="s">
        <v>206</v>
      </c>
      <c r="O10" s="16" t="s">
        <v>164</v>
      </c>
      <c r="P10" s="16" t="n">
        <v>2</v>
      </c>
      <c r="Q10" s="16" t="n">
        <v>4</v>
      </c>
      <c r="R10" s="18" t="n">
        <f aca="false">IF(OR(P10="",Q10=""),"",P10*Q10)</f>
        <v>8</v>
      </c>
      <c r="S10" s="16" t="s">
        <v>164</v>
      </c>
    </row>
    <row r="11" customFormat="false" ht="23.85" hidden="false" customHeight="false" outlineLevel="0" collapsed="false">
      <c r="A11" s="16" t="s">
        <v>263</v>
      </c>
      <c r="B11" s="16" t="s">
        <v>264</v>
      </c>
      <c r="C11" s="16" t="s">
        <v>265</v>
      </c>
      <c r="D11" s="16" t="s">
        <v>266</v>
      </c>
      <c r="E11" s="16" t="s">
        <v>267</v>
      </c>
      <c r="F11" s="16" t="s">
        <v>268</v>
      </c>
      <c r="G11" s="16" t="n">
        <v>2</v>
      </c>
      <c r="H11" s="16" t="n">
        <v>4</v>
      </c>
      <c r="I11" s="18" t="n">
        <f aca="false">IF(OR(G11="",H11=""),"",G11*H11)</f>
        <v>8</v>
      </c>
      <c r="J11" s="19" t="str">
        <f aca="false">IF(I11="","",IF(I11&lt;=4,"нисък",IF(I11&lt;=9,"умерен",IF(I11&lt;=15,"висок","критичен"))))</f>
        <v>умерен</v>
      </c>
      <c r="K11" s="19" t="str">
        <f aca="false">IF(I11="","",IF(I11&lt;=Скали!$B$1,"да","не"))</f>
        <v>да</v>
      </c>
      <c r="L11" s="16" t="s">
        <v>205</v>
      </c>
      <c r="M11" s="16" t="s">
        <v>144</v>
      </c>
      <c r="N11" s="16" t="s">
        <v>222</v>
      </c>
      <c r="O11" s="16" t="s">
        <v>164</v>
      </c>
      <c r="P11" s="16" t="n">
        <v>1</v>
      </c>
      <c r="Q11" s="16" t="n">
        <v>4</v>
      </c>
      <c r="R11" s="18" t="n">
        <f aca="false">IF(OR(P11="",Q11=""),"",P11*Q11)</f>
        <v>4</v>
      </c>
      <c r="S11" s="16" t="s">
        <v>164</v>
      </c>
    </row>
    <row r="12" customFormat="false" ht="23.85" hidden="false" customHeight="false" outlineLevel="0" collapsed="false">
      <c r="A12" s="16" t="s">
        <v>269</v>
      </c>
      <c r="B12" s="16" t="s">
        <v>270</v>
      </c>
      <c r="C12" s="16" t="s">
        <v>271</v>
      </c>
      <c r="D12" s="16" t="s">
        <v>272</v>
      </c>
      <c r="E12" s="16" t="s">
        <v>273</v>
      </c>
      <c r="F12" s="16" t="s">
        <v>274</v>
      </c>
      <c r="G12" s="16" t="n">
        <v>2</v>
      </c>
      <c r="H12" s="16" t="n">
        <v>3</v>
      </c>
      <c r="I12" s="18" t="n">
        <f aca="false">IF(OR(G12="",H12=""),"",G12*H12)</f>
        <v>6</v>
      </c>
      <c r="J12" s="19" t="str">
        <f aca="false">IF(I12="","",IF(I12&lt;=4,"нисък",IF(I12&lt;=9,"умерен",IF(I12&lt;=15,"висок","критичен"))))</f>
        <v>умерен</v>
      </c>
      <c r="K12" s="19" t="str">
        <f aca="false">IF(I12="","",IF(I12&lt;=Скали!$B$1,"да","не"))</f>
        <v>да</v>
      </c>
      <c r="L12" s="16" t="s">
        <v>205</v>
      </c>
      <c r="M12" s="16" t="s">
        <v>169</v>
      </c>
      <c r="N12" s="16" t="s">
        <v>222</v>
      </c>
      <c r="O12" s="16" t="s">
        <v>164</v>
      </c>
      <c r="P12" s="16" t="n">
        <v>1</v>
      </c>
      <c r="Q12" s="16" t="n">
        <v>3</v>
      </c>
      <c r="R12" s="18" t="n">
        <f aca="false">IF(OR(P12="",Q12=""),"",P12*Q12)</f>
        <v>3</v>
      </c>
      <c r="S12" s="16" t="s">
        <v>164</v>
      </c>
    </row>
    <row r="13" customFormat="false" ht="46.25" hidden="false" customHeight="false" outlineLevel="0" collapsed="false">
      <c r="A13" s="16" t="s">
        <v>275</v>
      </c>
      <c r="B13" s="16" t="s">
        <v>276</v>
      </c>
      <c r="C13" s="16" t="s">
        <v>277</v>
      </c>
      <c r="D13" s="16" t="s">
        <v>278</v>
      </c>
      <c r="E13" s="16" t="s">
        <v>279</v>
      </c>
      <c r="F13" s="16" t="s">
        <v>164</v>
      </c>
      <c r="G13" s="16" t="n">
        <v>2</v>
      </c>
      <c r="H13" s="16" t="n">
        <v>4</v>
      </c>
      <c r="I13" s="18" t="n">
        <f aca="false">IF(OR(G13="",H13=""),"",G13*H13)</f>
        <v>8</v>
      </c>
      <c r="J13" s="19" t="str">
        <f aca="false">IF(I13="","",IF(I13&lt;=4,"нисък",IF(I13&lt;=9,"умерен",IF(I13&lt;=15,"висок","критичен"))))</f>
        <v>умерен</v>
      </c>
      <c r="K13" s="19" t="str">
        <f aca="false">IF(I13="","",IF(I13&lt;=Скали!$B$1,"да","не"))</f>
        <v>да</v>
      </c>
      <c r="L13" s="16" t="s">
        <v>205</v>
      </c>
      <c r="M13" s="16" t="s">
        <v>127</v>
      </c>
      <c r="N13" s="16" t="s">
        <v>222</v>
      </c>
      <c r="O13" s="16" t="s">
        <v>164</v>
      </c>
      <c r="P13" s="16" t="n">
        <v>1</v>
      </c>
      <c r="Q13" s="16" t="n">
        <v>4</v>
      </c>
      <c r="R13" s="18" t="n">
        <f aca="false">IF(OR(P13="",Q13=""),"",P13*Q13)</f>
        <v>4</v>
      </c>
      <c r="S13" s="16" t="s">
        <v>256</v>
      </c>
    </row>
    <row r="14" customFormat="false" ht="46.25" hidden="false" customHeight="false" outlineLevel="0" collapsed="false">
      <c r="A14" s="16" t="s">
        <v>280</v>
      </c>
      <c r="B14" s="16" t="s">
        <v>281</v>
      </c>
      <c r="C14" s="16" t="s">
        <v>282</v>
      </c>
      <c r="D14" s="16" t="s">
        <v>283</v>
      </c>
      <c r="E14" s="16" t="s">
        <v>284</v>
      </c>
      <c r="F14" s="16" t="s">
        <v>285</v>
      </c>
      <c r="G14" s="16" t="n">
        <v>2</v>
      </c>
      <c r="H14" s="16" t="n">
        <v>4</v>
      </c>
      <c r="I14" s="18" t="n">
        <f aca="false">IF(OR(G14="",H14=""),"",G14*H14)</f>
        <v>8</v>
      </c>
      <c r="J14" s="19" t="str">
        <f aca="false">IF(I14="","",IF(I14&lt;=4,"нисък",IF(I14&lt;=9,"умерен",IF(I14&lt;=15,"висок","критичен"))))</f>
        <v>умерен</v>
      </c>
      <c r="K14" s="19" t="str">
        <f aca="false">IF(I14="","",IF(I14&lt;=Скали!$B$1,"да","не"))</f>
        <v>да</v>
      </c>
      <c r="L14" s="16" t="s">
        <v>205</v>
      </c>
      <c r="M14" s="16" t="s">
        <v>169</v>
      </c>
      <c r="N14" s="16" t="s">
        <v>222</v>
      </c>
      <c r="O14" s="16" t="s">
        <v>164</v>
      </c>
      <c r="P14" s="16" t="n">
        <v>1</v>
      </c>
      <c r="Q14" s="16" t="n">
        <v>4</v>
      </c>
      <c r="R14" s="18" t="n">
        <f aca="false">IF(OR(P14="",Q14=""),"",P14*Q14)</f>
        <v>4</v>
      </c>
      <c r="S14" s="16" t="s">
        <v>164</v>
      </c>
    </row>
    <row r="15" customFormat="false" ht="23.85" hidden="false" customHeight="false" outlineLevel="0" collapsed="false">
      <c r="A15" s="16" t="s">
        <v>286</v>
      </c>
      <c r="B15" s="16" t="s">
        <v>287</v>
      </c>
      <c r="C15" s="16" t="s">
        <v>288</v>
      </c>
      <c r="D15" s="16" t="s">
        <v>289</v>
      </c>
      <c r="E15" s="16" t="s">
        <v>290</v>
      </c>
      <c r="F15" s="16" t="s">
        <v>291</v>
      </c>
      <c r="G15" s="16" t="n">
        <v>2</v>
      </c>
      <c r="H15" s="16" t="n">
        <v>3</v>
      </c>
      <c r="I15" s="18" t="n">
        <f aca="false">IF(OR(G15="",H15=""),"",G15*H15)</f>
        <v>6</v>
      </c>
      <c r="J15" s="19" t="str">
        <f aca="false">IF(I15="","",IF(I15&lt;=4,"нисък",IF(I15&lt;=9,"умерен",IF(I15&lt;=15,"висок","критичен"))))</f>
        <v>умерен</v>
      </c>
      <c r="K15" s="19" t="str">
        <f aca="false">IF(I15="","",IF(I15&lt;=Скали!$B$1,"да","не"))</f>
        <v>да</v>
      </c>
      <c r="L15" s="16" t="s">
        <v>292</v>
      </c>
      <c r="M15" s="16" t="s">
        <v>138</v>
      </c>
      <c r="N15" s="16" t="s">
        <v>164</v>
      </c>
      <c r="O15" s="16" t="s">
        <v>164</v>
      </c>
      <c r="P15" s="16" t="n">
        <v>2</v>
      </c>
      <c r="Q15" s="16" t="n">
        <v>3</v>
      </c>
      <c r="R15" s="18" t="n">
        <f aca="false">IF(OR(P15="",Q15=""),"",P15*Q15)</f>
        <v>6</v>
      </c>
      <c r="S15" s="16" t="s">
        <v>164</v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8" t="str">
        <f aca="false">IF(OR(G16="",H16=""),"",G16*H16)</f>
        <v/>
      </c>
      <c r="J16" s="19" t="str">
        <f aca="false">IF(I16="","",IF(I16&lt;=4,"нисък",IF(I16&lt;=9,"умерен",IF(I16&lt;=15,"висок","критичен"))))</f>
        <v/>
      </c>
      <c r="K16" s="19" t="str">
        <f aca="false">IF(I16="","",IF(I16&lt;=Скали!$B$1,"да","не"))</f>
        <v/>
      </c>
      <c r="L16" s="16"/>
      <c r="M16" s="16"/>
      <c r="N16" s="16"/>
      <c r="O16" s="16"/>
      <c r="P16" s="16"/>
      <c r="Q16" s="16"/>
      <c r="R16" s="18" t="str">
        <f aca="false">IF(OR(P16="",Q16=""),"",P16*Q16)</f>
        <v/>
      </c>
      <c r="S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8" t="str">
        <f aca="false">IF(OR(G17="",H17=""),"",G17*H17)</f>
        <v/>
      </c>
      <c r="J17" s="19" t="str">
        <f aca="false">IF(I17="","",IF(I17&lt;=4,"нисък",IF(I17&lt;=9,"умерен",IF(I17&lt;=15,"висок","критичен"))))</f>
        <v/>
      </c>
      <c r="K17" s="19" t="str">
        <f aca="false">IF(I17="","",IF(I17&lt;=Скали!$B$1,"да","не"))</f>
        <v/>
      </c>
      <c r="L17" s="16"/>
      <c r="M17" s="16"/>
      <c r="N17" s="16"/>
      <c r="O17" s="16"/>
      <c r="P17" s="16"/>
      <c r="Q17" s="16"/>
      <c r="R17" s="18" t="str">
        <f aca="false">IF(OR(P17="",Q17=""),"",P17*Q17)</f>
        <v/>
      </c>
      <c r="S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8" t="str">
        <f aca="false">IF(OR(G18="",H18=""),"",G18*H18)</f>
        <v/>
      </c>
      <c r="J18" s="19" t="str">
        <f aca="false">IF(I18="","",IF(I18&lt;=4,"нисък",IF(I18&lt;=9,"умерен",IF(I18&lt;=15,"висок","критичен"))))</f>
        <v/>
      </c>
      <c r="K18" s="19" t="str">
        <f aca="false">IF(I18="","",IF(I18&lt;=Скали!$B$1,"да","не"))</f>
        <v/>
      </c>
      <c r="L18" s="16"/>
      <c r="M18" s="16"/>
      <c r="N18" s="16"/>
      <c r="O18" s="16"/>
      <c r="P18" s="16"/>
      <c r="Q18" s="16"/>
      <c r="R18" s="18" t="str">
        <f aca="false">IF(OR(P18="",Q18=""),"",P18*Q18)</f>
        <v/>
      </c>
      <c r="S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8" t="str">
        <f aca="false">IF(OR(G19="",H19=""),"",G19*H19)</f>
        <v/>
      </c>
      <c r="J19" s="19" t="str">
        <f aca="false">IF(I19="","",IF(I19&lt;=4,"нисък",IF(I19&lt;=9,"умерен",IF(I19&lt;=15,"висок","критичен"))))</f>
        <v/>
      </c>
      <c r="K19" s="19" t="str">
        <f aca="false">IF(I19="","",IF(I19&lt;=Скали!$B$1,"да","не"))</f>
        <v/>
      </c>
      <c r="L19" s="16"/>
      <c r="M19" s="16"/>
      <c r="N19" s="16"/>
      <c r="O19" s="16"/>
      <c r="P19" s="16"/>
      <c r="Q19" s="16"/>
      <c r="R19" s="18" t="str">
        <f aca="false">IF(OR(P19="",Q19=""),"",P19*Q19)</f>
        <v/>
      </c>
      <c r="S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8" t="str">
        <f aca="false">IF(OR(G20="",H20=""),"",G20*H20)</f>
        <v/>
      </c>
      <c r="J20" s="19" t="str">
        <f aca="false">IF(I20="","",IF(I20&lt;=4,"нисък",IF(I20&lt;=9,"умерен",IF(I20&lt;=15,"висок","критичен"))))</f>
        <v/>
      </c>
      <c r="K20" s="19" t="str">
        <f aca="false">IF(I20="","",IF(I20&lt;=Скали!$B$1,"да","не"))</f>
        <v/>
      </c>
      <c r="L20" s="16"/>
      <c r="M20" s="16"/>
      <c r="N20" s="16"/>
      <c r="O20" s="16"/>
      <c r="P20" s="16"/>
      <c r="Q20" s="16"/>
      <c r="R20" s="18" t="str">
        <f aca="false">IF(OR(P20="",Q20=""),"",P20*Q20)</f>
        <v/>
      </c>
      <c r="S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8" t="str">
        <f aca="false">IF(OR(G21="",H21=""),"",G21*H21)</f>
        <v/>
      </c>
      <c r="J21" s="19" t="str">
        <f aca="false">IF(I21="","",IF(I21&lt;=4,"нисък",IF(I21&lt;=9,"умерен",IF(I21&lt;=15,"висок","критичен"))))</f>
        <v/>
      </c>
      <c r="K21" s="19" t="str">
        <f aca="false">IF(I21="","",IF(I21&lt;=Скали!$B$1,"да","не"))</f>
        <v/>
      </c>
      <c r="L21" s="16"/>
      <c r="M21" s="16"/>
      <c r="N21" s="16"/>
      <c r="O21" s="16"/>
      <c r="P21" s="16"/>
      <c r="Q21" s="16"/>
      <c r="R21" s="18" t="str">
        <f aca="false">IF(OR(P21="",Q21=""),"",P21*Q21)</f>
        <v/>
      </c>
      <c r="S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8" t="str">
        <f aca="false">IF(OR(G22="",H22=""),"",G22*H22)</f>
        <v/>
      </c>
      <c r="J22" s="19" t="str">
        <f aca="false">IF(I22="","",IF(I22&lt;=4,"нисък",IF(I22&lt;=9,"умерен",IF(I22&lt;=15,"висок","критичен"))))</f>
        <v/>
      </c>
      <c r="K22" s="19" t="str">
        <f aca="false">IF(I22="","",IF(I22&lt;=Скали!$B$1,"да","не"))</f>
        <v/>
      </c>
      <c r="L22" s="16"/>
      <c r="M22" s="16"/>
      <c r="N22" s="16"/>
      <c r="O22" s="16"/>
      <c r="P22" s="16"/>
      <c r="Q22" s="16"/>
      <c r="R22" s="18" t="str">
        <f aca="false">IF(OR(P22="",Q22=""),"",P22*Q22)</f>
        <v/>
      </c>
      <c r="S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8" t="str">
        <f aca="false">IF(OR(G23="",H23=""),"",G23*H23)</f>
        <v/>
      </c>
      <c r="J23" s="19" t="str">
        <f aca="false">IF(I23="","",IF(I23&lt;=4,"нисък",IF(I23&lt;=9,"умерен",IF(I23&lt;=15,"висок","критичен"))))</f>
        <v/>
      </c>
      <c r="K23" s="19" t="str">
        <f aca="false">IF(I23="","",IF(I23&lt;=Скали!$B$1,"да","не"))</f>
        <v/>
      </c>
      <c r="L23" s="16"/>
      <c r="M23" s="16"/>
      <c r="N23" s="16"/>
      <c r="O23" s="16"/>
      <c r="P23" s="16"/>
      <c r="Q23" s="16"/>
      <c r="R23" s="18" t="str">
        <f aca="false">IF(OR(P23="",Q23=""),"",P23*Q23)</f>
        <v/>
      </c>
      <c r="S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8" t="str">
        <f aca="false">IF(OR(G24="",H24=""),"",G24*H24)</f>
        <v/>
      </c>
      <c r="J24" s="19" t="str">
        <f aca="false">IF(I24="","",IF(I24&lt;=4,"нисък",IF(I24&lt;=9,"умерен",IF(I24&lt;=15,"висок","критичен"))))</f>
        <v/>
      </c>
      <c r="K24" s="19" t="str">
        <f aca="false">IF(I24="","",IF(I24&lt;=Скали!$B$1,"да","не"))</f>
        <v/>
      </c>
      <c r="L24" s="16"/>
      <c r="M24" s="16"/>
      <c r="N24" s="16"/>
      <c r="O24" s="16"/>
      <c r="P24" s="16"/>
      <c r="Q24" s="16"/>
      <c r="R24" s="18" t="str">
        <f aca="false">IF(OR(P24="",Q24=""),"",P24*Q24)</f>
        <v/>
      </c>
      <c r="S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8" t="str">
        <f aca="false">IF(OR(G25="",H25=""),"",G25*H25)</f>
        <v/>
      </c>
      <c r="J25" s="19" t="str">
        <f aca="false">IF(I25="","",IF(I25&lt;=4,"нисък",IF(I25&lt;=9,"умерен",IF(I25&lt;=15,"висок","критичен"))))</f>
        <v/>
      </c>
      <c r="K25" s="19" t="str">
        <f aca="false">IF(I25="","",IF(I25&lt;=Скали!$B$1,"да","не"))</f>
        <v/>
      </c>
      <c r="L25" s="16"/>
      <c r="M25" s="16"/>
      <c r="N25" s="16"/>
      <c r="O25" s="16"/>
      <c r="P25" s="16"/>
      <c r="Q25" s="16"/>
      <c r="R25" s="18" t="str">
        <f aca="false">IF(OR(P25="",Q25=""),"",P25*Q25)</f>
        <v/>
      </c>
      <c r="S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8" t="str">
        <f aca="false">IF(OR(G26="",H26=""),"",G26*H26)</f>
        <v/>
      </c>
      <c r="J26" s="19" t="str">
        <f aca="false">IF(I26="","",IF(I26&lt;=4,"нисък",IF(I26&lt;=9,"умерен",IF(I26&lt;=15,"висок","критичен"))))</f>
        <v/>
      </c>
      <c r="K26" s="19" t="str">
        <f aca="false">IF(I26="","",IF(I26&lt;=Скали!$B$1,"да","не"))</f>
        <v/>
      </c>
      <c r="L26" s="16"/>
      <c r="M26" s="16"/>
      <c r="N26" s="16"/>
      <c r="O26" s="16"/>
      <c r="P26" s="16"/>
      <c r="Q26" s="16"/>
      <c r="R26" s="18" t="str">
        <f aca="false">IF(OR(P26="",Q26=""),"",P26*Q26)</f>
        <v/>
      </c>
      <c r="S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8" t="str">
        <f aca="false">IF(OR(G27="",H27=""),"",G27*H27)</f>
        <v/>
      </c>
      <c r="J27" s="19" t="str">
        <f aca="false">IF(I27="","",IF(I27&lt;=4,"нисък",IF(I27&lt;=9,"умерен",IF(I27&lt;=15,"висок","критичен"))))</f>
        <v/>
      </c>
      <c r="K27" s="19" t="str">
        <f aca="false">IF(I27="","",IF(I27&lt;=Скали!$B$1,"да","не"))</f>
        <v/>
      </c>
      <c r="L27" s="16"/>
      <c r="M27" s="16"/>
      <c r="N27" s="16"/>
      <c r="O27" s="16"/>
      <c r="P27" s="16"/>
      <c r="Q27" s="16"/>
      <c r="R27" s="18" t="str">
        <f aca="false">IF(OR(P27="",Q27=""),"",P27*Q27)</f>
        <v/>
      </c>
      <c r="S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8" t="str">
        <f aca="false">IF(OR(G28="",H28=""),"",G28*H28)</f>
        <v/>
      </c>
      <c r="J28" s="19" t="str">
        <f aca="false">IF(I28="","",IF(I28&lt;=4,"нисък",IF(I28&lt;=9,"умерен",IF(I28&lt;=15,"висок","критичен"))))</f>
        <v/>
      </c>
      <c r="K28" s="19" t="str">
        <f aca="false">IF(I28="","",IF(I28&lt;=Скали!$B$1,"да","не"))</f>
        <v/>
      </c>
      <c r="L28" s="16"/>
      <c r="M28" s="16"/>
      <c r="N28" s="16"/>
      <c r="O28" s="16"/>
      <c r="P28" s="16"/>
      <c r="Q28" s="16"/>
      <c r="R28" s="18" t="str">
        <f aca="false">IF(OR(P28="",Q28=""),"",P28*Q28)</f>
        <v/>
      </c>
      <c r="S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8" t="str">
        <f aca="false">IF(OR(G29="",H29=""),"",G29*H29)</f>
        <v/>
      </c>
      <c r="J29" s="19" t="str">
        <f aca="false">IF(I29="","",IF(I29&lt;=4,"нисък",IF(I29&lt;=9,"умерен",IF(I29&lt;=15,"висок","критичен"))))</f>
        <v/>
      </c>
      <c r="K29" s="19" t="str">
        <f aca="false">IF(I29="","",IF(I29&lt;=Скали!$B$1,"да","не"))</f>
        <v/>
      </c>
      <c r="L29" s="16"/>
      <c r="M29" s="16"/>
      <c r="N29" s="16"/>
      <c r="O29" s="16"/>
      <c r="P29" s="16"/>
      <c r="Q29" s="16"/>
      <c r="R29" s="18" t="str">
        <f aca="false">IF(OR(P29="",Q29=""),"",P29*Q29)</f>
        <v/>
      </c>
      <c r="S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8" t="str">
        <f aca="false">IF(OR(G30="",H30=""),"",G30*H30)</f>
        <v/>
      </c>
      <c r="J30" s="19" t="str">
        <f aca="false">IF(I30="","",IF(I30&lt;=4,"нисък",IF(I30&lt;=9,"умерен",IF(I30&lt;=15,"висок","критичен"))))</f>
        <v/>
      </c>
      <c r="K30" s="19" t="str">
        <f aca="false">IF(I30="","",IF(I30&lt;=Скали!$B$1,"да","не"))</f>
        <v/>
      </c>
      <c r="L30" s="16"/>
      <c r="M30" s="16"/>
      <c r="N30" s="16"/>
      <c r="O30" s="16"/>
      <c r="P30" s="16"/>
      <c r="Q30" s="16"/>
      <c r="R30" s="18" t="str">
        <f aca="false">IF(OR(P30="",Q30=""),"",P30*Q30)</f>
        <v/>
      </c>
      <c r="S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8" t="str">
        <f aca="false">IF(OR(G31="",H31=""),"",G31*H31)</f>
        <v/>
      </c>
      <c r="J31" s="19" t="str">
        <f aca="false">IF(I31="","",IF(I31&lt;=4,"нисък",IF(I31&lt;=9,"умерен",IF(I31&lt;=15,"висок","критичен"))))</f>
        <v/>
      </c>
      <c r="K31" s="19" t="str">
        <f aca="false">IF(I31="","",IF(I31&lt;=Скали!$B$1,"да","не"))</f>
        <v/>
      </c>
      <c r="L31" s="16"/>
      <c r="M31" s="16"/>
      <c r="N31" s="16"/>
      <c r="O31" s="16"/>
      <c r="P31" s="16"/>
      <c r="Q31" s="16"/>
      <c r="R31" s="18" t="str">
        <f aca="false">IF(OR(P31="",Q31=""),"",P31*Q31)</f>
        <v/>
      </c>
      <c r="S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8" t="str">
        <f aca="false">IF(OR(G32="",H32=""),"",G32*H32)</f>
        <v/>
      </c>
      <c r="J32" s="19" t="str">
        <f aca="false">IF(I32="","",IF(I32&lt;=4,"нисък",IF(I32&lt;=9,"умерен",IF(I32&lt;=15,"висок","критичен"))))</f>
        <v/>
      </c>
      <c r="K32" s="19" t="str">
        <f aca="false">IF(I32="","",IF(I32&lt;=Скали!$B$1,"да","не"))</f>
        <v/>
      </c>
      <c r="L32" s="16"/>
      <c r="M32" s="16"/>
      <c r="N32" s="16"/>
      <c r="O32" s="16"/>
      <c r="P32" s="16"/>
      <c r="Q32" s="16"/>
      <c r="R32" s="18" t="str">
        <f aca="false">IF(OR(P32="",Q32=""),"",P32*Q32)</f>
        <v/>
      </c>
      <c r="S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8" t="str">
        <f aca="false">IF(OR(G33="",H33=""),"",G33*H33)</f>
        <v/>
      </c>
      <c r="J33" s="19" t="str">
        <f aca="false">IF(I33="","",IF(I33&lt;=4,"нисък",IF(I33&lt;=9,"умерен",IF(I33&lt;=15,"висок","критичен"))))</f>
        <v/>
      </c>
      <c r="K33" s="19" t="str">
        <f aca="false">IF(I33="","",IF(I33&lt;=Скали!$B$1,"да","не"))</f>
        <v/>
      </c>
      <c r="L33" s="16"/>
      <c r="M33" s="16"/>
      <c r="N33" s="16"/>
      <c r="O33" s="16"/>
      <c r="P33" s="16"/>
      <c r="Q33" s="16"/>
      <c r="R33" s="18" t="str">
        <f aca="false">IF(OR(P33="",Q33=""),"",P33*Q33)</f>
        <v/>
      </c>
      <c r="S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8" t="str">
        <f aca="false">IF(OR(G34="",H34=""),"",G34*H34)</f>
        <v/>
      </c>
      <c r="J34" s="19" t="str">
        <f aca="false">IF(I34="","",IF(I34&lt;=4,"нисък",IF(I34&lt;=9,"умерен",IF(I34&lt;=15,"висок","критичен"))))</f>
        <v/>
      </c>
      <c r="K34" s="19" t="str">
        <f aca="false">IF(I34="","",IF(I34&lt;=Скали!$B$1,"да","не"))</f>
        <v/>
      </c>
      <c r="L34" s="16"/>
      <c r="M34" s="16"/>
      <c r="N34" s="16"/>
      <c r="O34" s="16"/>
      <c r="P34" s="16"/>
      <c r="Q34" s="16"/>
      <c r="R34" s="18" t="str">
        <f aca="false">IF(OR(P34="",Q34=""),"",P34*Q34)</f>
        <v/>
      </c>
      <c r="S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8" t="str">
        <f aca="false">IF(OR(G35="",H35=""),"",G35*H35)</f>
        <v/>
      </c>
      <c r="J35" s="19" t="str">
        <f aca="false">IF(I35="","",IF(I35&lt;=4,"нисък",IF(I35&lt;=9,"умерен",IF(I35&lt;=15,"висок","критичен"))))</f>
        <v/>
      </c>
      <c r="K35" s="19" t="str">
        <f aca="false">IF(I35="","",IF(I35&lt;=Скали!$B$1,"да","не"))</f>
        <v/>
      </c>
      <c r="L35" s="16"/>
      <c r="M35" s="16"/>
      <c r="N35" s="16"/>
      <c r="O35" s="16"/>
      <c r="P35" s="16"/>
      <c r="Q35" s="16"/>
      <c r="R35" s="18" t="str">
        <f aca="false">IF(OR(P35="",Q35=""),"",P35*Q35)</f>
        <v/>
      </c>
      <c r="S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8" t="str">
        <f aca="false">IF(OR(G36="",H36=""),"",G36*H36)</f>
        <v/>
      </c>
      <c r="J36" s="19" t="str">
        <f aca="false">IF(I36="","",IF(I36&lt;=4,"нисък",IF(I36&lt;=9,"умерен",IF(I36&lt;=15,"висок","критичен"))))</f>
        <v/>
      </c>
      <c r="K36" s="19" t="str">
        <f aca="false">IF(I36="","",IF(I36&lt;=Скали!$B$1,"да","не"))</f>
        <v/>
      </c>
      <c r="L36" s="16"/>
      <c r="M36" s="16"/>
      <c r="N36" s="16"/>
      <c r="O36" s="16"/>
      <c r="P36" s="16"/>
      <c r="Q36" s="16"/>
      <c r="R36" s="18" t="str">
        <f aca="false">IF(OR(P36="",Q36=""),"",P36*Q36)</f>
        <v/>
      </c>
      <c r="S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8" t="str">
        <f aca="false">IF(OR(G37="",H37=""),"",G37*H37)</f>
        <v/>
      </c>
      <c r="J37" s="19" t="str">
        <f aca="false">IF(I37="","",IF(I37&lt;=4,"нисък",IF(I37&lt;=9,"умерен",IF(I37&lt;=15,"висок","критичен"))))</f>
        <v/>
      </c>
      <c r="K37" s="19" t="str">
        <f aca="false">IF(I37="","",IF(I37&lt;=Скали!$B$1,"да","не"))</f>
        <v/>
      </c>
      <c r="L37" s="16"/>
      <c r="M37" s="16"/>
      <c r="N37" s="16"/>
      <c r="O37" s="16"/>
      <c r="P37" s="16"/>
      <c r="Q37" s="16"/>
      <c r="R37" s="18" t="str">
        <f aca="false">IF(OR(P37="",Q37=""),"",P37*Q37)</f>
        <v/>
      </c>
      <c r="S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8" t="str">
        <f aca="false">IF(OR(G38="",H38=""),"",G38*H38)</f>
        <v/>
      </c>
      <c r="J38" s="19" t="str">
        <f aca="false">IF(I38="","",IF(I38&lt;=4,"нисък",IF(I38&lt;=9,"умерен",IF(I38&lt;=15,"висок","критичен"))))</f>
        <v/>
      </c>
      <c r="K38" s="19" t="str">
        <f aca="false">IF(I38="","",IF(I38&lt;=Скали!$B$1,"да","не"))</f>
        <v/>
      </c>
      <c r="L38" s="16"/>
      <c r="M38" s="16"/>
      <c r="N38" s="16"/>
      <c r="O38" s="16"/>
      <c r="P38" s="16"/>
      <c r="Q38" s="16"/>
      <c r="R38" s="18" t="str">
        <f aca="false">IF(OR(P38="",Q38=""),"",P38*Q38)</f>
        <v/>
      </c>
      <c r="S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8" t="str">
        <f aca="false">IF(OR(G39="",H39=""),"",G39*H39)</f>
        <v/>
      </c>
      <c r="J39" s="19" t="str">
        <f aca="false">IF(I39="","",IF(I39&lt;=4,"нисък",IF(I39&lt;=9,"умерен",IF(I39&lt;=15,"висок","критичен"))))</f>
        <v/>
      </c>
      <c r="K39" s="19" t="str">
        <f aca="false">IF(I39="","",IF(I39&lt;=Скали!$B$1,"да","не"))</f>
        <v/>
      </c>
      <c r="L39" s="16"/>
      <c r="M39" s="16"/>
      <c r="N39" s="16"/>
      <c r="O39" s="16"/>
      <c r="P39" s="16"/>
      <c r="Q39" s="16"/>
      <c r="R39" s="18" t="str">
        <f aca="false">IF(OR(P39="",Q39=""),"",P39*Q39)</f>
        <v/>
      </c>
      <c r="S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8" t="str">
        <f aca="false">IF(OR(G40="",H40=""),"",G40*H40)</f>
        <v/>
      </c>
      <c r="J40" s="19" t="str">
        <f aca="false">IF(I40="","",IF(I40&lt;=4,"нисък",IF(I40&lt;=9,"умерен",IF(I40&lt;=15,"висок","критичен"))))</f>
        <v/>
      </c>
      <c r="K40" s="19" t="str">
        <f aca="false">IF(I40="","",IF(I40&lt;=Скали!$B$1,"да","не"))</f>
        <v/>
      </c>
      <c r="L40" s="16"/>
      <c r="M40" s="16"/>
      <c r="N40" s="16"/>
      <c r="O40" s="16"/>
      <c r="P40" s="16"/>
      <c r="Q40" s="16"/>
      <c r="R40" s="18" t="str">
        <f aca="false">IF(OR(P40="",Q40=""),"",P40*Q40)</f>
        <v/>
      </c>
      <c r="S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8" t="str">
        <f aca="false">IF(OR(G41="",H41=""),"",G41*H41)</f>
        <v/>
      </c>
      <c r="J41" s="19" t="str">
        <f aca="false">IF(I41="","",IF(I41&lt;=4,"нисък",IF(I41&lt;=9,"умерен",IF(I41&lt;=15,"висок","критичен"))))</f>
        <v/>
      </c>
      <c r="K41" s="19" t="str">
        <f aca="false">IF(I41="","",IF(I41&lt;=Скали!$B$1,"да","не"))</f>
        <v/>
      </c>
      <c r="L41" s="16"/>
      <c r="M41" s="16"/>
      <c r="N41" s="16"/>
      <c r="O41" s="16"/>
      <c r="P41" s="16"/>
      <c r="Q41" s="16"/>
      <c r="R41" s="18" t="str">
        <f aca="false">IF(OR(P41="",Q41=""),"",P41*Q41)</f>
        <v/>
      </c>
      <c r="S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8" t="str">
        <f aca="false">IF(OR(G42="",H42=""),"",G42*H42)</f>
        <v/>
      </c>
      <c r="J42" s="19" t="str">
        <f aca="false">IF(I42="","",IF(I42&lt;=4,"нисък",IF(I42&lt;=9,"умерен",IF(I42&lt;=15,"висок","критичен"))))</f>
        <v/>
      </c>
      <c r="K42" s="19" t="str">
        <f aca="false">IF(I42="","",IF(I42&lt;=Скали!$B$1,"да","не"))</f>
        <v/>
      </c>
      <c r="L42" s="16"/>
      <c r="M42" s="16"/>
      <c r="N42" s="16"/>
      <c r="O42" s="16"/>
      <c r="P42" s="16"/>
      <c r="Q42" s="16"/>
      <c r="R42" s="18" t="str">
        <f aca="false">IF(OR(P42="",Q42=""),"",P42*Q42)</f>
        <v/>
      </c>
      <c r="S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8" t="str">
        <f aca="false">IF(OR(G43="",H43=""),"",G43*H43)</f>
        <v/>
      </c>
      <c r="J43" s="19" t="str">
        <f aca="false">IF(I43="","",IF(I43&lt;=4,"нисък",IF(I43&lt;=9,"умерен",IF(I43&lt;=15,"висок","критичен"))))</f>
        <v/>
      </c>
      <c r="K43" s="19" t="str">
        <f aca="false">IF(I43="","",IF(I43&lt;=Скали!$B$1,"да","не"))</f>
        <v/>
      </c>
      <c r="L43" s="16"/>
      <c r="M43" s="16"/>
      <c r="N43" s="16"/>
      <c r="O43" s="16"/>
      <c r="P43" s="16"/>
      <c r="Q43" s="16"/>
      <c r="R43" s="18" t="str">
        <f aca="false">IF(OR(P43="",Q43=""),"",P43*Q43)</f>
        <v/>
      </c>
      <c r="S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8" t="str">
        <f aca="false">IF(OR(G44="",H44=""),"",G44*H44)</f>
        <v/>
      </c>
      <c r="J44" s="19" t="str">
        <f aca="false">IF(I44="","",IF(I44&lt;=4,"нисък",IF(I44&lt;=9,"умерен",IF(I44&lt;=15,"висок","критичен"))))</f>
        <v/>
      </c>
      <c r="K44" s="19" t="str">
        <f aca="false">IF(I44="","",IF(I44&lt;=Скали!$B$1,"да","не"))</f>
        <v/>
      </c>
      <c r="L44" s="16"/>
      <c r="M44" s="16"/>
      <c r="N44" s="16"/>
      <c r="O44" s="16"/>
      <c r="P44" s="16"/>
      <c r="Q44" s="16"/>
      <c r="R44" s="18" t="str">
        <f aca="false">IF(OR(P44="",Q44=""),"",P44*Q44)</f>
        <v/>
      </c>
      <c r="S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8" t="str">
        <f aca="false">IF(OR(G45="",H45=""),"",G45*H45)</f>
        <v/>
      </c>
      <c r="J45" s="19" t="str">
        <f aca="false">IF(I45="","",IF(I45&lt;=4,"нисък",IF(I45&lt;=9,"умерен",IF(I45&lt;=15,"висок","критичен"))))</f>
        <v/>
      </c>
      <c r="K45" s="19" t="str">
        <f aca="false">IF(I45="","",IF(I45&lt;=Скали!$B$1,"да","не"))</f>
        <v/>
      </c>
      <c r="L45" s="16"/>
      <c r="M45" s="16"/>
      <c r="N45" s="16"/>
      <c r="O45" s="16"/>
      <c r="P45" s="16"/>
      <c r="Q45" s="16"/>
      <c r="R45" s="18" t="str">
        <f aca="false">IF(OR(P45="",Q45=""),"",P45*Q45)</f>
        <v/>
      </c>
      <c r="S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8" t="str">
        <f aca="false">IF(OR(G46="",H46=""),"",G46*H46)</f>
        <v/>
      </c>
      <c r="J46" s="19" t="str">
        <f aca="false">IF(I46="","",IF(I46&lt;=4,"нисък",IF(I46&lt;=9,"умерен",IF(I46&lt;=15,"висок","критичен"))))</f>
        <v/>
      </c>
      <c r="K46" s="19" t="str">
        <f aca="false">IF(I46="","",IF(I46&lt;=Скали!$B$1,"да","не"))</f>
        <v/>
      </c>
      <c r="L46" s="16"/>
      <c r="M46" s="16"/>
      <c r="N46" s="16"/>
      <c r="O46" s="16"/>
      <c r="P46" s="16"/>
      <c r="Q46" s="16"/>
      <c r="R46" s="18" t="str">
        <f aca="false">IF(OR(P46="",Q46=""),"",P46*Q46)</f>
        <v/>
      </c>
      <c r="S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8" t="str">
        <f aca="false">IF(OR(G47="",H47=""),"",G47*H47)</f>
        <v/>
      </c>
      <c r="J47" s="19" t="str">
        <f aca="false">IF(I47="","",IF(I47&lt;=4,"нисък",IF(I47&lt;=9,"умерен",IF(I47&lt;=15,"висок","критичен"))))</f>
        <v/>
      </c>
      <c r="K47" s="19" t="str">
        <f aca="false">IF(I47="","",IF(I47&lt;=Скали!$B$1,"да","не"))</f>
        <v/>
      </c>
      <c r="L47" s="16"/>
      <c r="M47" s="16"/>
      <c r="N47" s="16"/>
      <c r="O47" s="16"/>
      <c r="P47" s="16"/>
      <c r="Q47" s="16"/>
      <c r="R47" s="18" t="str">
        <f aca="false">IF(OR(P47="",Q47=""),"",P47*Q47)</f>
        <v/>
      </c>
      <c r="S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8" t="str">
        <f aca="false">IF(OR(G48="",H48=""),"",G48*H48)</f>
        <v/>
      </c>
      <c r="J48" s="19" t="str">
        <f aca="false">IF(I48="","",IF(I48&lt;=4,"нисък",IF(I48&lt;=9,"умерен",IF(I48&lt;=15,"висок","критичен"))))</f>
        <v/>
      </c>
      <c r="K48" s="19" t="str">
        <f aca="false">IF(I48="","",IF(I48&lt;=Скали!$B$1,"да","не"))</f>
        <v/>
      </c>
      <c r="L48" s="16"/>
      <c r="M48" s="16"/>
      <c r="N48" s="16"/>
      <c r="O48" s="16"/>
      <c r="P48" s="16"/>
      <c r="Q48" s="16"/>
      <c r="R48" s="18" t="str">
        <f aca="false">IF(OR(P48="",Q48=""),"",P48*Q48)</f>
        <v/>
      </c>
      <c r="S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8" t="str">
        <f aca="false">IF(OR(G49="",H49=""),"",G49*H49)</f>
        <v/>
      </c>
      <c r="J49" s="19" t="str">
        <f aca="false">IF(I49="","",IF(I49&lt;=4,"нисък",IF(I49&lt;=9,"умерен",IF(I49&lt;=15,"висок","критичен"))))</f>
        <v/>
      </c>
      <c r="K49" s="19" t="str">
        <f aca="false">IF(I49="","",IF(I49&lt;=Скали!$B$1,"да","не"))</f>
        <v/>
      </c>
      <c r="L49" s="16"/>
      <c r="M49" s="16"/>
      <c r="N49" s="16"/>
      <c r="O49" s="16"/>
      <c r="P49" s="16"/>
      <c r="Q49" s="16"/>
      <c r="R49" s="18" t="str">
        <f aca="false">IF(OR(P49="",Q49=""),"",P49*Q49)</f>
        <v/>
      </c>
      <c r="S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8" t="str">
        <f aca="false">IF(OR(G50="",H50=""),"",G50*H50)</f>
        <v/>
      </c>
      <c r="J50" s="19" t="str">
        <f aca="false">IF(I50="","",IF(I50&lt;=4,"нисък",IF(I50&lt;=9,"умерен",IF(I50&lt;=15,"висок","критичен"))))</f>
        <v/>
      </c>
      <c r="K50" s="19" t="str">
        <f aca="false">IF(I50="","",IF(I50&lt;=Скали!$B$1,"да","не"))</f>
        <v/>
      </c>
      <c r="L50" s="16"/>
      <c r="M50" s="16"/>
      <c r="N50" s="16"/>
      <c r="O50" s="16"/>
      <c r="P50" s="16"/>
      <c r="Q50" s="16"/>
      <c r="R50" s="18" t="str">
        <f aca="false">IF(OR(P50="",Q50=""),"",P50*Q50)</f>
        <v/>
      </c>
      <c r="S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8" t="str">
        <f aca="false">IF(OR(G51="",H51=""),"",G51*H51)</f>
        <v/>
      </c>
      <c r="J51" s="19" t="str">
        <f aca="false">IF(I51="","",IF(I51&lt;=4,"нисък",IF(I51&lt;=9,"умерен",IF(I51&lt;=15,"висок","критичен"))))</f>
        <v/>
      </c>
      <c r="K51" s="19" t="str">
        <f aca="false">IF(I51="","",IF(I51&lt;=Скали!$B$1,"да","не"))</f>
        <v/>
      </c>
      <c r="L51" s="16"/>
      <c r="M51" s="16"/>
      <c r="N51" s="16"/>
      <c r="O51" s="16"/>
      <c r="P51" s="16"/>
      <c r="Q51" s="16"/>
      <c r="R51" s="18" t="str">
        <f aca="false">IF(OR(P51="",Q51=""),"",P51*Q51)</f>
        <v/>
      </c>
      <c r="S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8" t="str">
        <f aca="false">IF(OR(G52="",H52=""),"",G52*H52)</f>
        <v/>
      </c>
      <c r="J52" s="19" t="str">
        <f aca="false">IF(I52="","",IF(I52&lt;=4,"нисък",IF(I52&lt;=9,"умерен",IF(I52&lt;=15,"висок","критичен"))))</f>
        <v/>
      </c>
      <c r="K52" s="19" t="str">
        <f aca="false">IF(I52="","",IF(I52&lt;=Скали!$B$1,"да","не"))</f>
        <v/>
      </c>
      <c r="L52" s="16"/>
      <c r="M52" s="16"/>
      <c r="N52" s="16"/>
      <c r="O52" s="16"/>
      <c r="P52" s="16"/>
      <c r="Q52" s="16"/>
      <c r="R52" s="18" t="str">
        <f aca="false">IF(OR(P52="",Q52=""),"",P52*Q52)</f>
        <v/>
      </c>
      <c r="S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8" t="str">
        <f aca="false">IF(OR(G53="",H53=""),"",G53*H53)</f>
        <v/>
      </c>
      <c r="J53" s="19" t="str">
        <f aca="false">IF(I53="","",IF(I53&lt;=4,"нисък",IF(I53&lt;=9,"умерен",IF(I53&lt;=15,"висок","критичен"))))</f>
        <v/>
      </c>
      <c r="K53" s="19" t="str">
        <f aca="false">IF(I53="","",IF(I53&lt;=Скали!$B$1,"да","не"))</f>
        <v/>
      </c>
      <c r="L53" s="16"/>
      <c r="M53" s="16"/>
      <c r="N53" s="16"/>
      <c r="O53" s="16"/>
      <c r="P53" s="16"/>
      <c r="Q53" s="16"/>
      <c r="R53" s="18" t="str">
        <f aca="false">IF(OR(P53="",Q53=""),"",P53*Q53)</f>
        <v/>
      </c>
      <c r="S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8" t="str">
        <f aca="false">IF(OR(G54="",H54=""),"",G54*H54)</f>
        <v/>
      </c>
      <c r="J54" s="19" t="str">
        <f aca="false">IF(I54="","",IF(I54&lt;=4,"нисък",IF(I54&lt;=9,"умерен",IF(I54&lt;=15,"висок","критичен"))))</f>
        <v/>
      </c>
      <c r="K54" s="19" t="str">
        <f aca="false">IF(I54="","",IF(I54&lt;=Скали!$B$1,"да","не"))</f>
        <v/>
      </c>
      <c r="L54" s="16"/>
      <c r="M54" s="16"/>
      <c r="N54" s="16"/>
      <c r="O54" s="16"/>
      <c r="P54" s="16"/>
      <c r="Q54" s="16"/>
      <c r="R54" s="18" t="str">
        <f aca="false">IF(OR(P54="",Q54=""),"",P54*Q54)</f>
        <v/>
      </c>
      <c r="S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8" t="str">
        <f aca="false">IF(OR(G55="",H55=""),"",G55*H55)</f>
        <v/>
      </c>
      <c r="J55" s="19" t="str">
        <f aca="false">IF(I55="","",IF(I55&lt;=4,"нисък",IF(I55&lt;=9,"умерен",IF(I55&lt;=15,"висок","критичен"))))</f>
        <v/>
      </c>
      <c r="K55" s="19" t="str">
        <f aca="false">IF(I55="","",IF(I55&lt;=Скали!$B$1,"да","не"))</f>
        <v/>
      </c>
      <c r="L55" s="16"/>
      <c r="M55" s="16"/>
      <c r="N55" s="16"/>
      <c r="O55" s="16"/>
      <c r="P55" s="16"/>
      <c r="Q55" s="16"/>
      <c r="R55" s="18" t="str">
        <f aca="false">IF(OR(P55="",Q55=""),"",P55*Q55)</f>
        <v/>
      </c>
      <c r="S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8" t="str">
        <f aca="false">IF(OR(G56="",H56=""),"",G56*H56)</f>
        <v/>
      </c>
      <c r="J56" s="19" t="str">
        <f aca="false">IF(I56="","",IF(I56&lt;=4,"нисък",IF(I56&lt;=9,"умерен",IF(I56&lt;=15,"висок","критичен"))))</f>
        <v/>
      </c>
      <c r="K56" s="19" t="str">
        <f aca="false">IF(I56="","",IF(I56&lt;=Скали!$B$1,"да","не"))</f>
        <v/>
      </c>
      <c r="L56" s="16"/>
      <c r="M56" s="16"/>
      <c r="N56" s="16"/>
      <c r="O56" s="16"/>
      <c r="P56" s="16"/>
      <c r="Q56" s="16"/>
      <c r="R56" s="18" t="str">
        <f aca="false">IF(OR(P56="",Q56=""),"",P56*Q56)</f>
        <v/>
      </c>
      <c r="S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8" t="str">
        <f aca="false">IF(OR(G57="",H57=""),"",G57*H57)</f>
        <v/>
      </c>
      <c r="J57" s="19" t="str">
        <f aca="false">IF(I57="","",IF(I57&lt;=4,"нисък",IF(I57&lt;=9,"умерен",IF(I57&lt;=15,"висок","критичен"))))</f>
        <v/>
      </c>
      <c r="K57" s="19" t="str">
        <f aca="false">IF(I57="","",IF(I57&lt;=Скали!$B$1,"да","не"))</f>
        <v/>
      </c>
      <c r="L57" s="16"/>
      <c r="M57" s="16"/>
      <c r="N57" s="16"/>
      <c r="O57" s="16"/>
      <c r="P57" s="16"/>
      <c r="Q57" s="16"/>
      <c r="R57" s="18" t="str">
        <f aca="false">IF(OR(P57="",Q57=""),"",P57*Q57)</f>
        <v/>
      </c>
      <c r="S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8" t="str">
        <f aca="false">IF(OR(G58="",H58=""),"",G58*H58)</f>
        <v/>
      </c>
      <c r="J58" s="19" t="str">
        <f aca="false">IF(I58="","",IF(I58&lt;=4,"нисък",IF(I58&lt;=9,"умерен",IF(I58&lt;=15,"висок","критичен"))))</f>
        <v/>
      </c>
      <c r="K58" s="19" t="str">
        <f aca="false">IF(I58="","",IF(I58&lt;=Скали!$B$1,"да","не"))</f>
        <v/>
      </c>
      <c r="L58" s="16"/>
      <c r="M58" s="16"/>
      <c r="N58" s="16"/>
      <c r="O58" s="16"/>
      <c r="P58" s="16"/>
      <c r="Q58" s="16"/>
      <c r="R58" s="18" t="str">
        <f aca="false">IF(OR(P58="",Q58=""),"",P58*Q58)</f>
        <v/>
      </c>
      <c r="S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8" t="str">
        <f aca="false">IF(OR(G59="",H59=""),"",G59*H59)</f>
        <v/>
      </c>
      <c r="J59" s="19" t="str">
        <f aca="false">IF(I59="","",IF(I59&lt;=4,"нисък",IF(I59&lt;=9,"умерен",IF(I59&lt;=15,"висок","критичен"))))</f>
        <v/>
      </c>
      <c r="K59" s="19" t="str">
        <f aca="false">IF(I59="","",IF(I59&lt;=Скали!$B$1,"да","не"))</f>
        <v/>
      </c>
      <c r="L59" s="16"/>
      <c r="M59" s="16"/>
      <c r="N59" s="16"/>
      <c r="O59" s="16"/>
      <c r="P59" s="16"/>
      <c r="Q59" s="16"/>
      <c r="R59" s="18" t="str">
        <f aca="false">IF(OR(P59="",Q59=""),"",P59*Q59)</f>
        <v/>
      </c>
      <c r="S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8" t="str">
        <f aca="false">IF(OR(G60="",H60=""),"",G60*H60)</f>
        <v/>
      </c>
      <c r="J60" s="19" t="str">
        <f aca="false">IF(I60="","",IF(I60&lt;=4,"нисък",IF(I60&lt;=9,"умерен",IF(I60&lt;=15,"висок","критичен"))))</f>
        <v/>
      </c>
      <c r="K60" s="19" t="str">
        <f aca="false">IF(I60="","",IF(I60&lt;=Скали!$B$1,"да","не"))</f>
        <v/>
      </c>
      <c r="L60" s="16"/>
      <c r="M60" s="16"/>
      <c r="N60" s="16"/>
      <c r="O60" s="16"/>
      <c r="P60" s="16"/>
      <c r="Q60" s="16"/>
      <c r="R60" s="18" t="str">
        <f aca="false">IF(OR(P60="",Q60=""),"",P60*Q60)</f>
        <v/>
      </c>
      <c r="S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8" t="str">
        <f aca="false">IF(OR(G61="",H61=""),"",G61*H61)</f>
        <v/>
      </c>
      <c r="J61" s="19" t="str">
        <f aca="false">IF(I61="","",IF(I61&lt;=4,"нисък",IF(I61&lt;=9,"умерен",IF(I61&lt;=15,"висок","критичен"))))</f>
        <v/>
      </c>
      <c r="K61" s="19" t="str">
        <f aca="false">IF(I61="","",IF(I61&lt;=Скали!$B$1,"да","не"))</f>
        <v/>
      </c>
      <c r="L61" s="16"/>
      <c r="M61" s="16"/>
      <c r="N61" s="16"/>
      <c r="O61" s="16"/>
      <c r="P61" s="16"/>
      <c r="Q61" s="16"/>
      <c r="R61" s="18" t="str">
        <f aca="false">IF(OR(P61="",Q61=""),"",P61*Q61)</f>
        <v/>
      </c>
      <c r="S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8" t="str">
        <f aca="false">IF(OR(G62="",H62=""),"",G62*H62)</f>
        <v/>
      </c>
      <c r="J62" s="19" t="str">
        <f aca="false">IF(I62="","",IF(I62&lt;=4,"нисък",IF(I62&lt;=9,"умерен",IF(I62&lt;=15,"висок","критичен"))))</f>
        <v/>
      </c>
      <c r="K62" s="19" t="str">
        <f aca="false">IF(I62="","",IF(I62&lt;=Скали!$B$1,"да","не"))</f>
        <v/>
      </c>
      <c r="L62" s="16"/>
      <c r="M62" s="16"/>
      <c r="N62" s="16"/>
      <c r="O62" s="16"/>
      <c r="P62" s="16"/>
      <c r="Q62" s="16"/>
      <c r="R62" s="18" t="str">
        <f aca="false">IF(OR(P62="",Q62=""),"",P62*Q62)</f>
        <v/>
      </c>
      <c r="S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8" t="str">
        <f aca="false">IF(OR(G63="",H63=""),"",G63*H63)</f>
        <v/>
      </c>
      <c r="J63" s="19" t="str">
        <f aca="false">IF(I63="","",IF(I63&lt;=4,"нисък",IF(I63&lt;=9,"умерен",IF(I63&lt;=15,"висок","критичен"))))</f>
        <v/>
      </c>
      <c r="K63" s="19" t="str">
        <f aca="false">IF(I63="","",IF(I63&lt;=Скали!$B$1,"да","не"))</f>
        <v/>
      </c>
      <c r="L63" s="16"/>
      <c r="M63" s="16"/>
      <c r="N63" s="16"/>
      <c r="O63" s="16"/>
      <c r="P63" s="16"/>
      <c r="Q63" s="16"/>
      <c r="R63" s="18" t="str">
        <f aca="false">IF(OR(P63="",Q63=""),"",P63*Q63)</f>
        <v/>
      </c>
      <c r="S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8" t="str">
        <f aca="false">IF(OR(G64="",H64=""),"",G64*H64)</f>
        <v/>
      </c>
      <c r="J64" s="19" t="str">
        <f aca="false">IF(I64="","",IF(I64&lt;=4,"нисък",IF(I64&lt;=9,"умерен",IF(I64&lt;=15,"висок","критичен"))))</f>
        <v/>
      </c>
      <c r="K64" s="19" t="str">
        <f aca="false">IF(I64="","",IF(I64&lt;=Скали!$B$1,"да","не"))</f>
        <v/>
      </c>
      <c r="L64" s="16"/>
      <c r="M64" s="16"/>
      <c r="N64" s="16"/>
      <c r="O64" s="16"/>
      <c r="P64" s="16"/>
      <c r="Q64" s="16"/>
      <c r="R64" s="18" t="str">
        <f aca="false">IF(OR(P64="",Q64=""),"",P64*Q64)</f>
        <v/>
      </c>
      <c r="S64" s="16"/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8" t="str">
        <f aca="false">IF(OR(G65="",H65=""),"",G65*H65)</f>
        <v/>
      </c>
      <c r="J65" s="19" t="str">
        <f aca="false">IF(I65="","",IF(I65&lt;=4,"нисък",IF(I65&lt;=9,"умерен",IF(I65&lt;=15,"висок","критичен"))))</f>
        <v/>
      </c>
      <c r="K65" s="19" t="str">
        <f aca="false">IF(I65="","",IF(I65&lt;=Скали!$B$1,"да","не"))</f>
        <v/>
      </c>
      <c r="L65" s="16"/>
      <c r="M65" s="16"/>
      <c r="N65" s="16"/>
      <c r="O65" s="16"/>
      <c r="P65" s="16"/>
      <c r="Q65" s="16"/>
      <c r="R65" s="18" t="str">
        <f aca="false">IF(OR(P65="",Q65=""),"",P65*Q65)</f>
        <v/>
      </c>
      <c r="S65" s="16"/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8" t="str">
        <f aca="false">IF(OR(G66="",H66=""),"",G66*H66)</f>
        <v/>
      </c>
      <c r="J66" s="19" t="str">
        <f aca="false">IF(I66="","",IF(I66&lt;=4,"нисък",IF(I66&lt;=9,"умерен",IF(I66&lt;=15,"висок","критичен"))))</f>
        <v/>
      </c>
      <c r="K66" s="19" t="str">
        <f aca="false">IF(I66="","",IF(I66&lt;=Скали!$B$1,"да","не"))</f>
        <v/>
      </c>
      <c r="L66" s="16"/>
      <c r="M66" s="16"/>
      <c r="N66" s="16"/>
      <c r="O66" s="16"/>
      <c r="P66" s="16"/>
      <c r="Q66" s="16"/>
      <c r="R66" s="18" t="str">
        <f aca="false">IF(OR(P66="",Q66=""),"",P66*Q66)</f>
        <v/>
      </c>
      <c r="S66" s="16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8" t="str">
        <f aca="false">IF(OR(G67="",H67=""),"",G67*H67)</f>
        <v/>
      </c>
      <c r="J67" s="19" t="str">
        <f aca="false">IF(I67="","",IF(I67&lt;=4,"нисък",IF(I67&lt;=9,"умерен",IF(I67&lt;=15,"висок","критичен"))))</f>
        <v/>
      </c>
      <c r="K67" s="19" t="str">
        <f aca="false">IF(I67="","",IF(I67&lt;=Скали!$B$1,"да","не"))</f>
        <v/>
      </c>
      <c r="L67" s="16"/>
      <c r="M67" s="16"/>
      <c r="N67" s="16"/>
      <c r="O67" s="16"/>
      <c r="P67" s="16"/>
      <c r="Q67" s="16"/>
      <c r="R67" s="18" t="str">
        <f aca="false">IF(OR(P67="",Q67=""),"",P67*Q67)</f>
        <v/>
      </c>
      <c r="S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8" t="str">
        <f aca="false">IF(OR(G68="",H68=""),"",G68*H68)</f>
        <v/>
      </c>
      <c r="J68" s="19" t="str">
        <f aca="false">IF(I68="","",IF(I68&lt;=4,"нисък",IF(I68&lt;=9,"умерен",IF(I68&lt;=15,"висок","критичен"))))</f>
        <v/>
      </c>
      <c r="K68" s="19" t="str">
        <f aca="false">IF(I68="","",IF(I68&lt;=Скали!$B$1,"да","не"))</f>
        <v/>
      </c>
      <c r="L68" s="16"/>
      <c r="M68" s="16"/>
      <c r="N68" s="16"/>
      <c r="O68" s="16"/>
      <c r="P68" s="16"/>
      <c r="Q68" s="16"/>
      <c r="R68" s="18" t="str">
        <f aca="false">IF(OR(P68="",Q68=""),"",P68*Q68)</f>
        <v/>
      </c>
      <c r="S68" s="16"/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8" t="str">
        <f aca="false">IF(OR(G69="",H69=""),"",G69*H69)</f>
        <v/>
      </c>
      <c r="J69" s="19" t="str">
        <f aca="false">IF(I69="","",IF(I69&lt;=4,"нисък",IF(I69&lt;=9,"умерен",IF(I69&lt;=15,"висок","критичен"))))</f>
        <v/>
      </c>
      <c r="K69" s="19" t="str">
        <f aca="false">IF(I69="","",IF(I69&lt;=Скали!$B$1,"да","не"))</f>
        <v/>
      </c>
      <c r="L69" s="16"/>
      <c r="M69" s="16"/>
      <c r="N69" s="16"/>
      <c r="O69" s="16"/>
      <c r="P69" s="16"/>
      <c r="Q69" s="16"/>
      <c r="R69" s="18" t="str">
        <f aca="false">IF(OR(P69="",Q69=""),"",P69*Q69)</f>
        <v/>
      </c>
      <c r="S69" s="16"/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8" t="str">
        <f aca="false">IF(OR(G70="",H70=""),"",G70*H70)</f>
        <v/>
      </c>
      <c r="J70" s="19" t="str">
        <f aca="false">IF(I70="","",IF(I70&lt;=4,"нисък",IF(I70&lt;=9,"умерен",IF(I70&lt;=15,"висок","критичен"))))</f>
        <v/>
      </c>
      <c r="K70" s="19" t="str">
        <f aca="false">IF(I70="","",IF(I70&lt;=Скали!$B$1,"да","не"))</f>
        <v/>
      </c>
      <c r="L70" s="16"/>
      <c r="M70" s="16"/>
      <c r="N70" s="16"/>
      <c r="O70" s="16"/>
      <c r="P70" s="16"/>
      <c r="Q70" s="16"/>
      <c r="R70" s="18" t="str">
        <f aca="false">IF(OR(P70="",Q70=""),"",P70*Q70)</f>
        <v/>
      </c>
      <c r="S70" s="16"/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8" t="str">
        <f aca="false">IF(OR(G71="",H71=""),"",G71*H71)</f>
        <v/>
      </c>
      <c r="J71" s="19" t="str">
        <f aca="false">IF(I71="","",IF(I71&lt;=4,"нисък",IF(I71&lt;=9,"умерен",IF(I71&lt;=15,"висок","критичен"))))</f>
        <v/>
      </c>
      <c r="K71" s="19" t="str">
        <f aca="false">IF(I71="","",IF(I71&lt;=Скали!$B$1,"да","не"))</f>
        <v/>
      </c>
      <c r="L71" s="16"/>
      <c r="M71" s="16"/>
      <c r="N71" s="16"/>
      <c r="O71" s="16"/>
      <c r="P71" s="16"/>
      <c r="Q71" s="16"/>
      <c r="R71" s="18" t="str">
        <f aca="false">IF(OR(P71="",Q71=""),"",P71*Q71)</f>
        <v/>
      </c>
      <c r="S71" s="16"/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8" t="str">
        <f aca="false">IF(OR(G72="",H72=""),"",G72*H72)</f>
        <v/>
      </c>
      <c r="J72" s="19" t="str">
        <f aca="false">IF(I72="","",IF(I72&lt;=4,"нисък",IF(I72&lt;=9,"умерен",IF(I72&lt;=15,"висок","критичен"))))</f>
        <v/>
      </c>
      <c r="K72" s="19" t="str">
        <f aca="false">IF(I72="","",IF(I72&lt;=Скали!$B$1,"да","не"))</f>
        <v/>
      </c>
      <c r="L72" s="16"/>
      <c r="M72" s="16"/>
      <c r="N72" s="16"/>
      <c r="O72" s="16"/>
      <c r="P72" s="16"/>
      <c r="Q72" s="16"/>
      <c r="R72" s="18" t="str">
        <f aca="false">IF(OR(P72="",Q72=""),"",P72*Q72)</f>
        <v/>
      </c>
      <c r="S72" s="16"/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8" t="str">
        <f aca="false">IF(OR(G73="",H73=""),"",G73*H73)</f>
        <v/>
      </c>
      <c r="J73" s="19" t="str">
        <f aca="false">IF(I73="","",IF(I73&lt;=4,"нисък",IF(I73&lt;=9,"умерен",IF(I73&lt;=15,"висок","критичен"))))</f>
        <v/>
      </c>
      <c r="K73" s="19" t="str">
        <f aca="false">IF(I73="","",IF(I73&lt;=Скали!$B$1,"да","не"))</f>
        <v/>
      </c>
      <c r="L73" s="16"/>
      <c r="M73" s="16"/>
      <c r="N73" s="16"/>
      <c r="O73" s="16"/>
      <c r="P73" s="16"/>
      <c r="Q73" s="16"/>
      <c r="R73" s="18" t="str">
        <f aca="false">IF(OR(P73="",Q73=""),"",P73*Q73)</f>
        <v/>
      </c>
      <c r="S73" s="16"/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8" t="str">
        <f aca="false">IF(OR(G74="",H74=""),"",G74*H74)</f>
        <v/>
      </c>
      <c r="J74" s="19" t="str">
        <f aca="false">IF(I74="","",IF(I74&lt;=4,"нисък",IF(I74&lt;=9,"умерен",IF(I74&lt;=15,"висок","критичен"))))</f>
        <v/>
      </c>
      <c r="K74" s="19" t="str">
        <f aca="false">IF(I74="","",IF(I74&lt;=Скали!$B$1,"да","не"))</f>
        <v/>
      </c>
      <c r="L74" s="16"/>
      <c r="M74" s="16"/>
      <c r="N74" s="16"/>
      <c r="O74" s="16"/>
      <c r="P74" s="16"/>
      <c r="Q74" s="16"/>
      <c r="R74" s="18" t="str">
        <f aca="false">IF(OR(P74="",Q74=""),"",P74*Q74)</f>
        <v/>
      </c>
      <c r="S74" s="16"/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8" t="str">
        <f aca="false">IF(OR(G75="",H75=""),"",G75*H75)</f>
        <v/>
      </c>
      <c r="J75" s="19" t="str">
        <f aca="false">IF(I75="","",IF(I75&lt;=4,"нисък",IF(I75&lt;=9,"умерен",IF(I75&lt;=15,"висок","критичен"))))</f>
        <v/>
      </c>
      <c r="K75" s="19" t="str">
        <f aca="false">IF(I75="","",IF(I75&lt;=Скали!$B$1,"да","не"))</f>
        <v/>
      </c>
      <c r="L75" s="16"/>
      <c r="M75" s="16"/>
      <c r="N75" s="16"/>
      <c r="O75" s="16"/>
      <c r="P75" s="16"/>
      <c r="Q75" s="16"/>
      <c r="R75" s="18" t="str">
        <f aca="false">IF(OR(P75="",Q75=""),"",P75*Q75)</f>
        <v/>
      </c>
      <c r="S75" s="16"/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8" t="str">
        <f aca="false">IF(OR(G76="",H76=""),"",G76*H76)</f>
        <v/>
      </c>
      <c r="J76" s="19" t="str">
        <f aca="false">IF(I76="","",IF(I76&lt;=4,"нисък",IF(I76&lt;=9,"умерен",IF(I76&lt;=15,"висок","критичен"))))</f>
        <v/>
      </c>
      <c r="K76" s="19" t="str">
        <f aca="false">IF(I76="","",IF(I76&lt;=Скали!$B$1,"да","не"))</f>
        <v/>
      </c>
      <c r="L76" s="16"/>
      <c r="M76" s="16"/>
      <c r="N76" s="16"/>
      <c r="O76" s="16"/>
      <c r="P76" s="16"/>
      <c r="Q76" s="16"/>
      <c r="R76" s="18" t="str">
        <f aca="false">IF(OR(P76="",Q76=""),"",P76*Q76)</f>
        <v/>
      </c>
      <c r="S76" s="16"/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8" t="str">
        <f aca="false">IF(OR(G77="",H77=""),"",G77*H77)</f>
        <v/>
      </c>
      <c r="J77" s="19" t="str">
        <f aca="false">IF(I77="","",IF(I77&lt;=4,"нисък",IF(I77&lt;=9,"умерен",IF(I77&lt;=15,"висок","критичен"))))</f>
        <v/>
      </c>
      <c r="K77" s="19" t="str">
        <f aca="false">IF(I77="","",IF(I77&lt;=Скали!$B$1,"да","не"))</f>
        <v/>
      </c>
      <c r="L77" s="16"/>
      <c r="M77" s="16"/>
      <c r="N77" s="16"/>
      <c r="O77" s="16"/>
      <c r="P77" s="16"/>
      <c r="Q77" s="16"/>
      <c r="R77" s="18" t="str">
        <f aca="false">IF(OR(P77="",Q77=""),"",P77*Q77)</f>
        <v/>
      </c>
      <c r="S77" s="16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8" t="str">
        <f aca="false">IF(OR(G78="",H78=""),"",G78*H78)</f>
        <v/>
      </c>
      <c r="J78" s="19" t="str">
        <f aca="false">IF(I78="","",IF(I78&lt;=4,"нисък",IF(I78&lt;=9,"умерен",IF(I78&lt;=15,"висок","критичен"))))</f>
        <v/>
      </c>
      <c r="K78" s="19" t="str">
        <f aca="false">IF(I78="","",IF(I78&lt;=Скали!$B$1,"да","не"))</f>
        <v/>
      </c>
      <c r="L78" s="16"/>
      <c r="M78" s="16"/>
      <c r="N78" s="16"/>
      <c r="O78" s="16"/>
      <c r="P78" s="16"/>
      <c r="Q78" s="16"/>
      <c r="R78" s="18" t="str">
        <f aca="false">IF(OR(P78="",Q78=""),"",P78*Q78)</f>
        <v/>
      </c>
      <c r="S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8" t="str">
        <f aca="false">IF(OR(G79="",H79=""),"",G79*H79)</f>
        <v/>
      </c>
      <c r="J79" s="19" t="str">
        <f aca="false">IF(I79="","",IF(I79&lt;=4,"нисък",IF(I79&lt;=9,"умерен",IF(I79&lt;=15,"висок","критичен"))))</f>
        <v/>
      </c>
      <c r="K79" s="19" t="str">
        <f aca="false">IF(I79="","",IF(I79&lt;=Скали!$B$1,"да","не"))</f>
        <v/>
      </c>
      <c r="L79" s="16"/>
      <c r="M79" s="16"/>
      <c r="N79" s="16"/>
      <c r="O79" s="16"/>
      <c r="P79" s="16"/>
      <c r="Q79" s="16"/>
      <c r="R79" s="18" t="str">
        <f aca="false">IF(OR(P79="",Q79=""),"",P79*Q79)</f>
        <v/>
      </c>
      <c r="S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8" t="str">
        <f aca="false">IF(OR(G80="",H80=""),"",G80*H80)</f>
        <v/>
      </c>
      <c r="J80" s="19" t="str">
        <f aca="false">IF(I80="","",IF(I80&lt;=4,"нисък",IF(I80&lt;=9,"умерен",IF(I80&lt;=15,"висок","критичен"))))</f>
        <v/>
      </c>
      <c r="K80" s="19" t="str">
        <f aca="false">IF(I80="","",IF(I80&lt;=Скали!$B$1,"да","не"))</f>
        <v/>
      </c>
      <c r="L80" s="16"/>
      <c r="M80" s="16"/>
      <c r="N80" s="16"/>
      <c r="O80" s="16"/>
      <c r="P80" s="16"/>
      <c r="Q80" s="16"/>
      <c r="R80" s="18" t="str">
        <f aca="false">IF(OR(P80="",Q80=""),"",P80*Q80)</f>
        <v/>
      </c>
      <c r="S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8" t="str">
        <f aca="false">IF(OR(G81="",H81=""),"",G81*H81)</f>
        <v/>
      </c>
      <c r="J81" s="19" t="str">
        <f aca="false">IF(I81="","",IF(I81&lt;=4,"нисък",IF(I81&lt;=9,"умерен",IF(I81&lt;=15,"висок","критичен"))))</f>
        <v/>
      </c>
      <c r="K81" s="19" t="str">
        <f aca="false">IF(I81="","",IF(I81&lt;=Скали!$B$1,"да","не"))</f>
        <v/>
      </c>
      <c r="L81" s="16"/>
      <c r="M81" s="16"/>
      <c r="N81" s="16"/>
      <c r="O81" s="16"/>
      <c r="P81" s="16"/>
      <c r="Q81" s="16"/>
      <c r="R81" s="18" t="str">
        <f aca="false">IF(OR(P81="",Q81=""),"",P81*Q81)</f>
        <v/>
      </c>
      <c r="S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8" t="str">
        <f aca="false">IF(OR(G82="",H82=""),"",G82*H82)</f>
        <v/>
      </c>
      <c r="J82" s="19" t="str">
        <f aca="false">IF(I82="","",IF(I82&lt;=4,"нисък",IF(I82&lt;=9,"умерен",IF(I82&lt;=15,"висок","критичен"))))</f>
        <v/>
      </c>
      <c r="K82" s="19" t="str">
        <f aca="false">IF(I82="","",IF(I82&lt;=Скали!$B$1,"да","не"))</f>
        <v/>
      </c>
      <c r="L82" s="16"/>
      <c r="M82" s="16"/>
      <c r="N82" s="16"/>
      <c r="O82" s="16"/>
      <c r="P82" s="16"/>
      <c r="Q82" s="16"/>
      <c r="R82" s="18" t="str">
        <f aca="false">IF(OR(P82="",Q82=""),"",P82*Q82)</f>
        <v/>
      </c>
      <c r="S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8" t="str">
        <f aca="false">IF(OR(G83="",H83=""),"",G83*H83)</f>
        <v/>
      </c>
      <c r="J83" s="19" t="str">
        <f aca="false">IF(I83="","",IF(I83&lt;=4,"нисък",IF(I83&lt;=9,"умерен",IF(I83&lt;=15,"висок","критичен"))))</f>
        <v/>
      </c>
      <c r="K83" s="19" t="str">
        <f aca="false">IF(I83="","",IF(I83&lt;=Скали!$B$1,"да","не"))</f>
        <v/>
      </c>
      <c r="L83" s="16"/>
      <c r="M83" s="16"/>
      <c r="N83" s="16"/>
      <c r="O83" s="16"/>
      <c r="P83" s="16"/>
      <c r="Q83" s="16"/>
      <c r="R83" s="18" t="str">
        <f aca="false">IF(OR(P83="",Q83=""),"",P83*Q83)</f>
        <v/>
      </c>
      <c r="S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8" t="str">
        <f aca="false">IF(OR(G84="",H84=""),"",G84*H84)</f>
        <v/>
      </c>
      <c r="J84" s="19" t="str">
        <f aca="false">IF(I84="","",IF(I84&lt;=4,"нисък",IF(I84&lt;=9,"умерен",IF(I84&lt;=15,"висок","критичен"))))</f>
        <v/>
      </c>
      <c r="K84" s="19" t="str">
        <f aca="false">IF(I84="","",IF(I84&lt;=Скали!$B$1,"да","не"))</f>
        <v/>
      </c>
      <c r="L84" s="16"/>
      <c r="M84" s="16"/>
      <c r="N84" s="16"/>
      <c r="O84" s="16"/>
      <c r="P84" s="16"/>
      <c r="Q84" s="16"/>
      <c r="R84" s="18" t="str">
        <f aca="false">IF(OR(P84="",Q84=""),"",P84*Q84)</f>
        <v/>
      </c>
      <c r="S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8" t="str">
        <f aca="false">IF(OR(G85="",H85=""),"",G85*H85)</f>
        <v/>
      </c>
      <c r="J85" s="19" t="str">
        <f aca="false">IF(I85="","",IF(I85&lt;=4,"нисък",IF(I85&lt;=9,"умерен",IF(I85&lt;=15,"висок","критичен"))))</f>
        <v/>
      </c>
      <c r="K85" s="19" t="str">
        <f aca="false">IF(I85="","",IF(I85&lt;=Скали!$B$1,"да","не"))</f>
        <v/>
      </c>
      <c r="L85" s="16"/>
      <c r="M85" s="16"/>
      <c r="N85" s="16"/>
      <c r="O85" s="16"/>
      <c r="P85" s="16"/>
      <c r="Q85" s="16"/>
      <c r="R85" s="18" t="str">
        <f aca="false">IF(OR(P85="",Q85=""),"",P85*Q85)</f>
        <v/>
      </c>
      <c r="S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8" t="str">
        <f aca="false">IF(OR(G86="",H86=""),"",G86*H86)</f>
        <v/>
      </c>
      <c r="J86" s="19" t="str">
        <f aca="false">IF(I86="","",IF(I86&lt;=4,"нисък",IF(I86&lt;=9,"умерен",IF(I86&lt;=15,"висок","критичен"))))</f>
        <v/>
      </c>
      <c r="K86" s="19" t="str">
        <f aca="false">IF(I86="","",IF(I86&lt;=Скали!$B$1,"да","не"))</f>
        <v/>
      </c>
      <c r="L86" s="16"/>
      <c r="M86" s="16"/>
      <c r="N86" s="16"/>
      <c r="O86" s="16"/>
      <c r="P86" s="16"/>
      <c r="Q86" s="16"/>
      <c r="R86" s="18" t="str">
        <f aca="false">IF(OR(P86="",Q86=""),"",P86*Q86)</f>
        <v/>
      </c>
      <c r="S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8" t="str">
        <f aca="false">IF(OR(G87="",H87=""),"",G87*H87)</f>
        <v/>
      </c>
      <c r="J87" s="19" t="str">
        <f aca="false">IF(I87="","",IF(I87&lt;=4,"нисък",IF(I87&lt;=9,"умерен",IF(I87&lt;=15,"висок","критичен"))))</f>
        <v/>
      </c>
      <c r="K87" s="19" t="str">
        <f aca="false">IF(I87="","",IF(I87&lt;=Скали!$B$1,"да","не"))</f>
        <v/>
      </c>
      <c r="L87" s="16"/>
      <c r="M87" s="16"/>
      <c r="N87" s="16"/>
      <c r="O87" s="16"/>
      <c r="P87" s="16"/>
      <c r="Q87" s="16"/>
      <c r="R87" s="18" t="str">
        <f aca="false">IF(OR(P87="",Q87=""),"",P87*Q87)</f>
        <v/>
      </c>
      <c r="S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8" t="str">
        <f aca="false">IF(OR(G88="",H88=""),"",G88*H88)</f>
        <v/>
      </c>
      <c r="J88" s="19" t="str">
        <f aca="false">IF(I88="","",IF(I88&lt;=4,"нисък",IF(I88&lt;=9,"умерен",IF(I88&lt;=15,"висок","критичен"))))</f>
        <v/>
      </c>
      <c r="K88" s="19" t="str">
        <f aca="false">IF(I88="","",IF(I88&lt;=Скали!$B$1,"да","не"))</f>
        <v/>
      </c>
      <c r="L88" s="16"/>
      <c r="M88" s="16"/>
      <c r="N88" s="16"/>
      <c r="O88" s="16"/>
      <c r="P88" s="16"/>
      <c r="Q88" s="16"/>
      <c r="R88" s="18" t="str">
        <f aca="false">IF(OR(P88="",Q88=""),"",P88*Q88)</f>
        <v/>
      </c>
      <c r="S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8" t="str">
        <f aca="false">IF(OR(G89="",H89=""),"",G89*H89)</f>
        <v/>
      </c>
      <c r="J89" s="19" t="str">
        <f aca="false">IF(I89="","",IF(I89&lt;=4,"нисък",IF(I89&lt;=9,"умерен",IF(I89&lt;=15,"висок","критичен"))))</f>
        <v/>
      </c>
      <c r="K89" s="19" t="str">
        <f aca="false">IF(I89="","",IF(I89&lt;=Скали!$B$1,"да","не"))</f>
        <v/>
      </c>
      <c r="L89" s="16"/>
      <c r="M89" s="16"/>
      <c r="N89" s="16"/>
      <c r="O89" s="16"/>
      <c r="P89" s="16"/>
      <c r="Q89" s="16"/>
      <c r="R89" s="18" t="str">
        <f aca="false">IF(OR(P89="",Q89=""),"",P89*Q89)</f>
        <v/>
      </c>
      <c r="S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8" t="str">
        <f aca="false">IF(OR(G90="",H90=""),"",G90*H90)</f>
        <v/>
      </c>
      <c r="J90" s="19" t="str">
        <f aca="false">IF(I90="","",IF(I90&lt;=4,"нисък",IF(I90&lt;=9,"умерен",IF(I90&lt;=15,"висок","критичен"))))</f>
        <v/>
      </c>
      <c r="K90" s="19" t="str">
        <f aca="false">IF(I90="","",IF(I90&lt;=Скали!$B$1,"да","не"))</f>
        <v/>
      </c>
      <c r="L90" s="16"/>
      <c r="M90" s="16"/>
      <c r="N90" s="16"/>
      <c r="O90" s="16"/>
      <c r="P90" s="16"/>
      <c r="Q90" s="16"/>
      <c r="R90" s="18" t="str">
        <f aca="false">IF(OR(P90="",Q90=""),"",P90*Q90)</f>
        <v/>
      </c>
      <c r="S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8" t="str">
        <f aca="false">IF(OR(G91="",H91=""),"",G91*H91)</f>
        <v/>
      </c>
      <c r="J91" s="19" t="str">
        <f aca="false">IF(I91="","",IF(I91&lt;=4,"нисък",IF(I91&lt;=9,"умерен",IF(I91&lt;=15,"висок","критичен"))))</f>
        <v/>
      </c>
      <c r="K91" s="19" t="str">
        <f aca="false">IF(I91="","",IF(I91&lt;=Скали!$B$1,"да","не"))</f>
        <v/>
      </c>
      <c r="L91" s="16"/>
      <c r="M91" s="16"/>
      <c r="N91" s="16"/>
      <c r="O91" s="16"/>
      <c r="P91" s="16"/>
      <c r="Q91" s="16"/>
      <c r="R91" s="18" t="str">
        <f aca="false">IF(OR(P91="",Q91=""),"",P91*Q91)</f>
        <v/>
      </c>
      <c r="S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8" t="str">
        <f aca="false">IF(OR(G92="",H92=""),"",G92*H92)</f>
        <v/>
      </c>
      <c r="J92" s="19" t="str">
        <f aca="false">IF(I92="","",IF(I92&lt;=4,"нисък",IF(I92&lt;=9,"умерен",IF(I92&lt;=15,"висок","критичен"))))</f>
        <v/>
      </c>
      <c r="K92" s="19" t="str">
        <f aca="false">IF(I92="","",IF(I92&lt;=Скали!$B$1,"да","не"))</f>
        <v/>
      </c>
      <c r="L92" s="16"/>
      <c r="M92" s="16"/>
      <c r="N92" s="16"/>
      <c r="O92" s="16"/>
      <c r="P92" s="16"/>
      <c r="Q92" s="16"/>
      <c r="R92" s="18" t="str">
        <f aca="false">IF(OR(P92="",Q92=""),"",P92*Q92)</f>
        <v/>
      </c>
      <c r="S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8" t="str">
        <f aca="false">IF(OR(G93="",H93=""),"",G93*H93)</f>
        <v/>
      </c>
      <c r="J93" s="19" t="str">
        <f aca="false">IF(I93="","",IF(I93&lt;=4,"нисък",IF(I93&lt;=9,"умерен",IF(I93&lt;=15,"висок","критичен"))))</f>
        <v/>
      </c>
      <c r="K93" s="19" t="str">
        <f aca="false">IF(I93="","",IF(I93&lt;=Скали!$B$1,"да","не"))</f>
        <v/>
      </c>
      <c r="L93" s="16"/>
      <c r="M93" s="16"/>
      <c r="N93" s="16"/>
      <c r="O93" s="16"/>
      <c r="P93" s="16"/>
      <c r="Q93" s="16"/>
      <c r="R93" s="18" t="str">
        <f aca="false">IF(OR(P93="",Q93=""),"",P93*Q93)</f>
        <v/>
      </c>
      <c r="S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8" t="str">
        <f aca="false">IF(OR(G94="",H94=""),"",G94*H94)</f>
        <v/>
      </c>
      <c r="J94" s="19" t="str">
        <f aca="false">IF(I94="","",IF(I94&lt;=4,"нисък",IF(I94&lt;=9,"умерен",IF(I94&lt;=15,"висок","критичен"))))</f>
        <v/>
      </c>
      <c r="K94" s="19" t="str">
        <f aca="false">IF(I94="","",IF(I94&lt;=Скали!$B$1,"да","не"))</f>
        <v/>
      </c>
      <c r="L94" s="16"/>
      <c r="M94" s="16"/>
      <c r="N94" s="16"/>
      <c r="O94" s="16"/>
      <c r="P94" s="16"/>
      <c r="Q94" s="16"/>
      <c r="R94" s="18" t="str">
        <f aca="false">IF(OR(P94="",Q94=""),"",P94*Q94)</f>
        <v/>
      </c>
      <c r="S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8" t="str">
        <f aca="false">IF(OR(G95="",H95=""),"",G95*H95)</f>
        <v/>
      </c>
      <c r="J95" s="19" t="str">
        <f aca="false">IF(I95="","",IF(I95&lt;=4,"нисък",IF(I95&lt;=9,"умерен",IF(I95&lt;=15,"висок","критичен"))))</f>
        <v/>
      </c>
      <c r="K95" s="19" t="str">
        <f aca="false">IF(I95="","",IF(I95&lt;=Скали!$B$1,"да","не"))</f>
        <v/>
      </c>
      <c r="L95" s="16"/>
      <c r="M95" s="16"/>
      <c r="N95" s="16"/>
      <c r="O95" s="16"/>
      <c r="P95" s="16"/>
      <c r="Q95" s="16"/>
      <c r="R95" s="18" t="str">
        <f aca="false">IF(OR(P95="",Q95=""),"",P95*Q95)</f>
        <v/>
      </c>
      <c r="S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8" t="str">
        <f aca="false">IF(OR(G96="",H96=""),"",G96*H96)</f>
        <v/>
      </c>
      <c r="J96" s="19" t="str">
        <f aca="false">IF(I96="","",IF(I96&lt;=4,"нисък",IF(I96&lt;=9,"умерен",IF(I96&lt;=15,"висок","критичен"))))</f>
        <v/>
      </c>
      <c r="K96" s="19" t="str">
        <f aca="false">IF(I96="","",IF(I96&lt;=Скали!$B$1,"да","не"))</f>
        <v/>
      </c>
      <c r="L96" s="16"/>
      <c r="M96" s="16"/>
      <c r="N96" s="16"/>
      <c r="O96" s="16"/>
      <c r="P96" s="16"/>
      <c r="Q96" s="16"/>
      <c r="R96" s="18" t="str">
        <f aca="false">IF(OR(P96="",Q96=""),"",P96*Q96)</f>
        <v/>
      </c>
      <c r="S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8" t="str">
        <f aca="false">IF(OR(G97="",H97=""),"",G97*H97)</f>
        <v/>
      </c>
      <c r="J97" s="19" t="str">
        <f aca="false">IF(I97="","",IF(I97&lt;=4,"нисък",IF(I97&lt;=9,"умерен",IF(I97&lt;=15,"висок","критичен"))))</f>
        <v/>
      </c>
      <c r="K97" s="19" t="str">
        <f aca="false">IF(I97="","",IF(I97&lt;=Скали!$B$1,"да","не"))</f>
        <v/>
      </c>
      <c r="L97" s="16"/>
      <c r="M97" s="16"/>
      <c r="N97" s="16"/>
      <c r="O97" s="16"/>
      <c r="P97" s="16"/>
      <c r="Q97" s="16"/>
      <c r="R97" s="18" t="str">
        <f aca="false">IF(OR(P97="",Q97=""),"",P97*Q97)</f>
        <v/>
      </c>
      <c r="S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8" t="str">
        <f aca="false">IF(OR(G98="",H98=""),"",G98*H98)</f>
        <v/>
      </c>
      <c r="J98" s="19" t="str">
        <f aca="false">IF(I98="","",IF(I98&lt;=4,"нисък",IF(I98&lt;=9,"умерен",IF(I98&lt;=15,"висок","критичен"))))</f>
        <v/>
      </c>
      <c r="K98" s="19" t="str">
        <f aca="false">IF(I98="","",IF(I98&lt;=Скали!$B$1,"да","не"))</f>
        <v/>
      </c>
      <c r="L98" s="16"/>
      <c r="M98" s="16"/>
      <c r="N98" s="16"/>
      <c r="O98" s="16"/>
      <c r="P98" s="16"/>
      <c r="Q98" s="16"/>
      <c r="R98" s="18" t="str">
        <f aca="false">IF(OR(P98="",Q98=""),"",P98*Q98)</f>
        <v/>
      </c>
      <c r="S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8" t="str">
        <f aca="false">IF(OR(G99="",H99=""),"",G99*H99)</f>
        <v/>
      </c>
      <c r="J99" s="19" t="str">
        <f aca="false">IF(I99="","",IF(I99&lt;=4,"нисък",IF(I99&lt;=9,"умерен",IF(I99&lt;=15,"висок","критичен"))))</f>
        <v/>
      </c>
      <c r="K99" s="19" t="str">
        <f aca="false">IF(I99="","",IF(I99&lt;=Скали!$B$1,"да","не"))</f>
        <v/>
      </c>
      <c r="L99" s="16"/>
      <c r="M99" s="16"/>
      <c r="N99" s="16"/>
      <c r="O99" s="16"/>
      <c r="P99" s="16"/>
      <c r="Q99" s="16"/>
      <c r="R99" s="18" t="str">
        <f aca="false">IF(OR(P99="",Q99=""),"",P99*Q99)</f>
        <v/>
      </c>
      <c r="S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8" t="str">
        <f aca="false">IF(OR(G100="",H100=""),"",G100*H100)</f>
        <v/>
      </c>
      <c r="J100" s="19" t="str">
        <f aca="false">IF(I100="","",IF(I100&lt;=4,"нисък",IF(I100&lt;=9,"умерен",IF(I100&lt;=15,"висок","критичен"))))</f>
        <v/>
      </c>
      <c r="K100" s="19" t="str">
        <f aca="false">IF(I100="","",IF(I100&lt;=Скали!$B$1,"да","не"))</f>
        <v/>
      </c>
      <c r="L100" s="16"/>
      <c r="M100" s="16"/>
      <c r="N100" s="16"/>
      <c r="O100" s="16"/>
      <c r="P100" s="16"/>
      <c r="Q100" s="16"/>
      <c r="R100" s="18" t="str">
        <f aca="false">IF(OR(P100="",Q100=""),"",P100*Q100)</f>
        <v/>
      </c>
      <c r="S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8" t="str">
        <f aca="false">IF(OR(G101="",H101=""),"",G101*H101)</f>
        <v/>
      </c>
      <c r="J101" s="19" t="str">
        <f aca="false">IF(I101="","",IF(I101&lt;=4,"нисък",IF(I101&lt;=9,"умерен",IF(I101&lt;=15,"висок","критичен"))))</f>
        <v/>
      </c>
      <c r="K101" s="19" t="str">
        <f aca="false">IF(I101="","",IF(I101&lt;=Скали!$B$1,"да","не"))</f>
        <v/>
      </c>
      <c r="L101" s="16"/>
      <c r="M101" s="16"/>
      <c r="N101" s="16"/>
      <c r="O101" s="16"/>
      <c r="P101" s="16"/>
      <c r="Q101" s="16"/>
      <c r="R101" s="18" t="str">
        <f aca="false">IF(OR(P101="",Q101=""),"",P101*Q101)</f>
        <v/>
      </c>
      <c r="S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8" t="str">
        <f aca="false">IF(OR(G102="",H102=""),"",G102*H102)</f>
        <v/>
      </c>
      <c r="J102" s="19" t="str">
        <f aca="false">IF(I102="","",IF(I102&lt;=4,"нисък",IF(I102&lt;=9,"умерен",IF(I102&lt;=15,"висок","критичен"))))</f>
        <v/>
      </c>
      <c r="K102" s="19" t="str">
        <f aca="false">IF(I102="","",IF(I102&lt;=Скали!$B$1,"да","не"))</f>
        <v/>
      </c>
      <c r="L102" s="16"/>
      <c r="M102" s="16"/>
      <c r="N102" s="16"/>
      <c r="O102" s="16"/>
      <c r="P102" s="16"/>
      <c r="Q102" s="16"/>
      <c r="R102" s="18" t="str">
        <f aca="false">IF(OR(P102="",Q102=""),"",P102*Q102)</f>
        <v/>
      </c>
      <c r="S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8" t="str">
        <f aca="false">IF(OR(G103="",H103=""),"",G103*H103)</f>
        <v/>
      </c>
      <c r="J103" s="19" t="str">
        <f aca="false">IF(I103="","",IF(I103&lt;=4,"нисък",IF(I103&lt;=9,"умерен",IF(I103&lt;=15,"висок","критичен"))))</f>
        <v/>
      </c>
      <c r="K103" s="19" t="str">
        <f aca="false">IF(I103="","",IF(I103&lt;=Скали!$B$1,"да","не"))</f>
        <v/>
      </c>
      <c r="L103" s="16"/>
      <c r="M103" s="16"/>
      <c r="N103" s="16"/>
      <c r="O103" s="16"/>
      <c r="P103" s="16"/>
      <c r="Q103" s="16"/>
      <c r="R103" s="18" t="str">
        <f aca="false">IF(OR(P103="",Q103=""),"",P103*Q103)</f>
        <v/>
      </c>
      <c r="S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8" t="str">
        <f aca="false">IF(OR(G104="",H104=""),"",G104*H104)</f>
        <v/>
      </c>
      <c r="J104" s="19" t="str">
        <f aca="false">IF(I104="","",IF(I104&lt;=4,"нисък",IF(I104&lt;=9,"умерен",IF(I104&lt;=15,"висок","критичен"))))</f>
        <v/>
      </c>
      <c r="K104" s="19" t="str">
        <f aca="false">IF(I104="","",IF(I104&lt;=Скали!$B$1,"да","не"))</f>
        <v/>
      </c>
      <c r="L104" s="16"/>
      <c r="M104" s="16"/>
      <c r="N104" s="16"/>
      <c r="O104" s="16"/>
      <c r="P104" s="16"/>
      <c r="Q104" s="16"/>
      <c r="R104" s="18" t="str">
        <f aca="false">IF(OR(P104="",Q104=""),"",P104*Q104)</f>
        <v/>
      </c>
      <c r="S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8" t="str">
        <f aca="false">IF(OR(G105="",H105=""),"",G105*H105)</f>
        <v/>
      </c>
      <c r="J105" s="19" t="str">
        <f aca="false">IF(I105="","",IF(I105&lt;=4,"нисък",IF(I105&lt;=9,"умерен",IF(I105&lt;=15,"висок","критичен"))))</f>
        <v/>
      </c>
      <c r="K105" s="19" t="str">
        <f aca="false">IF(I105="","",IF(I105&lt;=Скали!$B$1,"да","не"))</f>
        <v/>
      </c>
      <c r="L105" s="16"/>
      <c r="M105" s="16"/>
      <c r="N105" s="16"/>
      <c r="O105" s="16"/>
      <c r="P105" s="16"/>
      <c r="Q105" s="16"/>
      <c r="R105" s="18" t="str">
        <f aca="false">IF(OR(P105="",Q105=""),"",P105*Q105)</f>
        <v/>
      </c>
      <c r="S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8" t="str">
        <f aca="false">IF(OR(G106="",H106=""),"",G106*H106)</f>
        <v/>
      </c>
      <c r="J106" s="19" t="str">
        <f aca="false">IF(I106="","",IF(I106&lt;=4,"нисък",IF(I106&lt;=9,"умерен",IF(I106&lt;=15,"висок","критичен"))))</f>
        <v/>
      </c>
      <c r="K106" s="19" t="str">
        <f aca="false">IF(I106="","",IF(I106&lt;=Скали!$B$1,"да","не"))</f>
        <v/>
      </c>
      <c r="L106" s="16"/>
      <c r="M106" s="16"/>
      <c r="N106" s="16"/>
      <c r="O106" s="16"/>
      <c r="P106" s="16"/>
      <c r="Q106" s="16"/>
      <c r="R106" s="18" t="str">
        <f aca="false">IF(OR(P106="",Q106=""),"",P106*Q106)</f>
        <v/>
      </c>
      <c r="S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8" t="str">
        <f aca="false">IF(OR(G107="",H107=""),"",G107*H107)</f>
        <v/>
      </c>
      <c r="J107" s="19" t="str">
        <f aca="false">IF(I107="","",IF(I107&lt;=4,"нисък",IF(I107&lt;=9,"умерен",IF(I107&lt;=15,"висок","критичен"))))</f>
        <v/>
      </c>
      <c r="K107" s="19" t="str">
        <f aca="false">IF(I107="","",IF(I107&lt;=Скали!$B$1,"да","не"))</f>
        <v/>
      </c>
      <c r="L107" s="16"/>
      <c r="M107" s="16"/>
      <c r="N107" s="16"/>
      <c r="O107" s="16"/>
      <c r="P107" s="16"/>
      <c r="Q107" s="16"/>
      <c r="R107" s="18" t="str">
        <f aca="false">IF(OR(P107="",Q107=""),"",P107*Q107)</f>
        <v/>
      </c>
      <c r="S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8" t="str">
        <f aca="false">IF(OR(G108="",H108=""),"",G108*H108)</f>
        <v/>
      </c>
      <c r="J108" s="19" t="str">
        <f aca="false">IF(I108="","",IF(I108&lt;=4,"нисък",IF(I108&lt;=9,"умерен",IF(I108&lt;=15,"висок","критичен"))))</f>
        <v/>
      </c>
      <c r="K108" s="19" t="str">
        <f aca="false">IF(I108="","",IF(I108&lt;=Скали!$B$1,"да","не"))</f>
        <v/>
      </c>
      <c r="L108" s="16"/>
      <c r="M108" s="16"/>
      <c r="N108" s="16"/>
      <c r="O108" s="16"/>
      <c r="P108" s="16"/>
      <c r="Q108" s="16"/>
      <c r="R108" s="18" t="str">
        <f aca="false">IF(OR(P108="",Q108=""),"",P108*Q108)</f>
        <v/>
      </c>
      <c r="S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8" t="str">
        <f aca="false">IF(OR(G109="",H109=""),"",G109*H109)</f>
        <v/>
      </c>
      <c r="J109" s="19" t="str">
        <f aca="false">IF(I109="","",IF(I109&lt;=4,"нисък",IF(I109&lt;=9,"умерен",IF(I109&lt;=15,"висок","критичен"))))</f>
        <v/>
      </c>
      <c r="K109" s="19" t="str">
        <f aca="false">IF(I109="","",IF(I109&lt;=Скали!$B$1,"да","не"))</f>
        <v/>
      </c>
      <c r="L109" s="16"/>
      <c r="M109" s="16"/>
      <c r="N109" s="16"/>
      <c r="O109" s="16"/>
      <c r="P109" s="16"/>
      <c r="Q109" s="16"/>
      <c r="R109" s="18" t="str">
        <f aca="false">IF(OR(P109="",Q109=""),"",P109*Q109)</f>
        <v/>
      </c>
      <c r="S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8" t="str">
        <f aca="false">IF(OR(G110="",H110=""),"",G110*H110)</f>
        <v/>
      </c>
      <c r="J110" s="19" t="str">
        <f aca="false">IF(I110="","",IF(I110&lt;=4,"нисък",IF(I110&lt;=9,"умерен",IF(I110&lt;=15,"висок","критичен"))))</f>
        <v/>
      </c>
      <c r="K110" s="19" t="str">
        <f aca="false">IF(I110="","",IF(I110&lt;=Скали!$B$1,"да","не"))</f>
        <v/>
      </c>
      <c r="L110" s="16"/>
      <c r="M110" s="16"/>
      <c r="N110" s="16"/>
      <c r="O110" s="16"/>
      <c r="P110" s="16"/>
      <c r="Q110" s="16"/>
      <c r="R110" s="18" t="str">
        <f aca="false">IF(OR(P110="",Q110=""),"",P110*Q110)</f>
        <v/>
      </c>
      <c r="S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8" t="str">
        <f aca="false">IF(OR(G111="",H111=""),"",G111*H111)</f>
        <v/>
      </c>
      <c r="J111" s="19" t="str">
        <f aca="false">IF(I111="","",IF(I111&lt;=4,"нисък",IF(I111&lt;=9,"умерен",IF(I111&lt;=15,"висок","критичен"))))</f>
        <v/>
      </c>
      <c r="K111" s="19" t="str">
        <f aca="false">IF(I111="","",IF(I111&lt;=Скали!$B$1,"да","не"))</f>
        <v/>
      </c>
      <c r="L111" s="16"/>
      <c r="M111" s="16"/>
      <c r="N111" s="16"/>
      <c r="O111" s="16"/>
      <c r="P111" s="16"/>
      <c r="Q111" s="16"/>
      <c r="R111" s="18" t="str">
        <f aca="false">IF(OR(P111="",Q111=""),"",P111*Q111)</f>
        <v/>
      </c>
      <c r="S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8" t="str">
        <f aca="false">IF(OR(G112="",H112=""),"",G112*H112)</f>
        <v/>
      </c>
      <c r="J112" s="19" t="str">
        <f aca="false">IF(I112="","",IF(I112&lt;=4,"нисък",IF(I112&lt;=9,"умерен",IF(I112&lt;=15,"висок","критичен"))))</f>
        <v/>
      </c>
      <c r="K112" s="19" t="str">
        <f aca="false">IF(I112="","",IF(I112&lt;=Скали!$B$1,"да","не"))</f>
        <v/>
      </c>
      <c r="L112" s="16"/>
      <c r="M112" s="16"/>
      <c r="N112" s="16"/>
      <c r="O112" s="16"/>
      <c r="P112" s="16"/>
      <c r="Q112" s="16"/>
      <c r="R112" s="18" t="str">
        <f aca="false">IF(OR(P112="",Q112=""),"",P112*Q112)</f>
        <v/>
      </c>
      <c r="S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8" t="str">
        <f aca="false">IF(OR(G113="",H113=""),"",G113*H113)</f>
        <v/>
      </c>
      <c r="J113" s="19" t="str">
        <f aca="false">IF(I113="","",IF(I113&lt;=4,"нисък",IF(I113&lt;=9,"умерен",IF(I113&lt;=15,"висок","критичен"))))</f>
        <v/>
      </c>
      <c r="K113" s="19" t="str">
        <f aca="false">IF(I113="","",IF(I113&lt;=Скали!$B$1,"да","не"))</f>
        <v/>
      </c>
      <c r="L113" s="16"/>
      <c r="M113" s="16"/>
      <c r="N113" s="16"/>
      <c r="O113" s="16"/>
      <c r="P113" s="16"/>
      <c r="Q113" s="16"/>
      <c r="R113" s="18" t="str">
        <f aca="false">IF(OR(P113="",Q113=""),"",P113*Q113)</f>
        <v/>
      </c>
      <c r="S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8" t="str">
        <f aca="false">IF(OR(G114="",H114=""),"",G114*H114)</f>
        <v/>
      </c>
      <c r="J114" s="19" t="str">
        <f aca="false">IF(I114="","",IF(I114&lt;=4,"нисък",IF(I114&lt;=9,"умерен",IF(I114&lt;=15,"висок","критичен"))))</f>
        <v/>
      </c>
      <c r="K114" s="19" t="str">
        <f aca="false">IF(I114="","",IF(I114&lt;=Скали!$B$1,"да","не"))</f>
        <v/>
      </c>
      <c r="L114" s="16"/>
      <c r="M114" s="16"/>
      <c r="N114" s="16"/>
      <c r="O114" s="16"/>
      <c r="P114" s="16"/>
      <c r="Q114" s="16"/>
      <c r="R114" s="18" t="str">
        <f aca="false">IF(OR(P114="",Q114=""),"",P114*Q114)</f>
        <v/>
      </c>
      <c r="S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8" t="str">
        <f aca="false">IF(OR(G115="",H115=""),"",G115*H115)</f>
        <v/>
      </c>
      <c r="J115" s="19" t="str">
        <f aca="false">IF(I115="","",IF(I115&lt;=4,"нисък",IF(I115&lt;=9,"умерен",IF(I115&lt;=15,"висок","критичен"))))</f>
        <v/>
      </c>
      <c r="K115" s="19" t="str">
        <f aca="false">IF(I115="","",IF(I115&lt;=Скали!$B$1,"да","не"))</f>
        <v/>
      </c>
      <c r="L115" s="16"/>
      <c r="M115" s="16"/>
      <c r="N115" s="16"/>
      <c r="O115" s="16"/>
      <c r="P115" s="16"/>
      <c r="Q115" s="16"/>
      <c r="R115" s="18" t="str">
        <f aca="false">IF(OR(P115="",Q115=""),"",P115*Q115)</f>
        <v/>
      </c>
      <c r="S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8" t="str">
        <f aca="false">IF(OR(G116="",H116=""),"",G116*H116)</f>
        <v/>
      </c>
      <c r="J116" s="19" t="str">
        <f aca="false">IF(I116="","",IF(I116&lt;=4,"нисък",IF(I116&lt;=9,"умерен",IF(I116&lt;=15,"висок","критичен"))))</f>
        <v/>
      </c>
      <c r="K116" s="19" t="str">
        <f aca="false">IF(I116="","",IF(I116&lt;=Скали!$B$1,"да","не"))</f>
        <v/>
      </c>
      <c r="L116" s="16"/>
      <c r="M116" s="16"/>
      <c r="N116" s="16"/>
      <c r="O116" s="16"/>
      <c r="P116" s="16"/>
      <c r="Q116" s="16"/>
      <c r="R116" s="18" t="str">
        <f aca="false">IF(OR(P116="",Q116=""),"",P116*Q116)</f>
        <v/>
      </c>
      <c r="S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8" t="str">
        <f aca="false">IF(OR(G117="",H117=""),"",G117*H117)</f>
        <v/>
      </c>
      <c r="J117" s="19" t="str">
        <f aca="false">IF(I117="","",IF(I117&lt;=4,"нисък",IF(I117&lt;=9,"умерен",IF(I117&lt;=15,"висок","критичен"))))</f>
        <v/>
      </c>
      <c r="K117" s="19" t="str">
        <f aca="false">IF(I117="","",IF(I117&lt;=Скали!$B$1,"да","не"))</f>
        <v/>
      </c>
      <c r="L117" s="16"/>
      <c r="M117" s="16"/>
      <c r="N117" s="16"/>
      <c r="O117" s="16"/>
      <c r="P117" s="16"/>
      <c r="Q117" s="16"/>
      <c r="R117" s="18" t="str">
        <f aca="false">IF(OR(P117="",Q117=""),"",P117*Q117)</f>
        <v/>
      </c>
      <c r="S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8" t="str">
        <f aca="false">IF(OR(G118="",H118=""),"",G118*H118)</f>
        <v/>
      </c>
      <c r="J118" s="19" t="str">
        <f aca="false">IF(I118="","",IF(I118&lt;=4,"нисък",IF(I118&lt;=9,"умерен",IF(I118&lt;=15,"висок","критичен"))))</f>
        <v/>
      </c>
      <c r="K118" s="19" t="str">
        <f aca="false">IF(I118="","",IF(I118&lt;=Скали!$B$1,"да","не"))</f>
        <v/>
      </c>
      <c r="L118" s="16"/>
      <c r="M118" s="16"/>
      <c r="N118" s="16"/>
      <c r="O118" s="16"/>
      <c r="P118" s="16"/>
      <c r="Q118" s="16"/>
      <c r="R118" s="18" t="str">
        <f aca="false">IF(OR(P118="",Q118=""),"",P118*Q118)</f>
        <v/>
      </c>
      <c r="S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8" t="str">
        <f aca="false">IF(OR(G119="",H119=""),"",G119*H119)</f>
        <v/>
      </c>
      <c r="J119" s="19" t="str">
        <f aca="false">IF(I119="","",IF(I119&lt;=4,"нисък",IF(I119&lt;=9,"умерен",IF(I119&lt;=15,"висок","критичен"))))</f>
        <v/>
      </c>
      <c r="K119" s="19" t="str">
        <f aca="false">IF(I119="","",IF(I119&lt;=Скали!$B$1,"да","не"))</f>
        <v/>
      </c>
      <c r="L119" s="16"/>
      <c r="M119" s="16"/>
      <c r="N119" s="16"/>
      <c r="O119" s="16"/>
      <c r="P119" s="16"/>
      <c r="Q119" s="16"/>
      <c r="R119" s="18" t="str">
        <f aca="false">IF(OR(P119="",Q119=""),"",P119*Q119)</f>
        <v/>
      </c>
      <c r="S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8" t="str">
        <f aca="false">IF(OR(G120="",H120=""),"",G120*H120)</f>
        <v/>
      </c>
      <c r="J120" s="19" t="str">
        <f aca="false">IF(I120="","",IF(I120&lt;=4,"нисък",IF(I120&lt;=9,"умерен",IF(I120&lt;=15,"висок","критичен"))))</f>
        <v/>
      </c>
      <c r="K120" s="19" t="str">
        <f aca="false">IF(I120="","",IF(I120&lt;=Скали!$B$1,"да","не"))</f>
        <v/>
      </c>
      <c r="L120" s="16"/>
      <c r="M120" s="16"/>
      <c r="N120" s="16"/>
      <c r="O120" s="16"/>
      <c r="P120" s="16"/>
      <c r="Q120" s="16"/>
      <c r="R120" s="18" t="str">
        <f aca="false">IF(OR(P120="",Q120=""),"",P120*Q120)</f>
        <v/>
      </c>
      <c r="S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8" t="str">
        <f aca="false">IF(OR(G121="",H121=""),"",G121*H121)</f>
        <v/>
      </c>
      <c r="J121" s="19" t="str">
        <f aca="false">IF(I121="","",IF(I121&lt;=4,"нисък",IF(I121&lt;=9,"умерен",IF(I121&lt;=15,"висок","критичен"))))</f>
        <v/>
      </c>
      <c r="K121" s="19" t="str">
        <f aca="false">IF(I121="","",IF(I121&lt;=Скали!$B$1,"да","не"))</f>
        <v/>
      </c>
      <c r="L121" s="16"/>
      <c r="M121" s="16"/>
      <c r="N121" s="16"/>
      <c r="O121" s="16"/>
      <c r="P121" s="16"/>
      <c r="Q121" s="16"/>
      <c r="R121" s="18" t="str">
        <f aca="false">IF(OR(P121="",Q121=""),"",P121*Q121)</f>
        <v/>
      </c>
      <c r="S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8" t="str">
        <f aca="false">IF(OR(G122="",H122=""),"",G122*H122)</f>
        <v/>
      </c>
      <c r="J122" s="19" t="str">
        <f aca="false">IF(I122="","",IF(I122&lt;=4,"нисък",IF(I122&lt;=9,"умерен",IF(I122&lt;=15,"висок","критичен"))))</f>
        <v/>
      </c>
      <c r="K122" s="19" t="str">
        <f aca="false">IF(I122="","",IF(I122&lt;=Скали!$B$1,"да","не"))</f>
        <v/>
      </c>
      <c r="L122" s="16"/>
      <c r="M122" s="16"/>
      <c r="N122" s="16"/>
      <c r="O122" s="16"/>
      <c r="P122" s="16"/>
      <c r="Q122" s="16"/>
      <c r="R122" s="18" t="str">
        <f aca="false">IF(OR(P122="",Q122=""),"",P122*Q122)</f>
        <v/>
      </c>
      <c r="S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8" t="str">
        <f aca="false">IF(OR(G123="",H123=""),"",G123*H123)</f>
        <v/>
      </c>
      <c r="J123" s="19" t="str">
        <f aca="false">IF(I123="","",IF(I123&lt;=4,"нисък",IF(I123&lt;=9,"умерен",IF(I123&lt;=15,"висок","критичен"))))</f>
        <v/>
      </c>
      <c r="K123" s="19" t="str">
        <f aca="false">IF(I123="","",IF(I123&lt;=Скали!$B$1,"да","не"))</f>
        <v/>
      </c>
      <c r="L123" s="16"/>
      <c r="M123" s="16"/>
      <c r="N123" s="16"/>
      <c r="O123" s="16"/>
      <c r="P123" s="16"/>
      <c r="Q123" s="16"/>
      <c r="R123" s="18" t="str">
        <f aca="false">IF(OR(P123="",Q123=""),"",P123*Q123)</f>
        <v/>
      </c>
      <c r="S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8" t="str">
        <f aca="false">IF(OR(G124="",H124=""),"",G124*H124)</f>
        <v/>
      </c>
      <c r="J124" s="19" t="str">
        <f aca="false">IF(I124="","",IF(I124&lt;=4,"нисък",IF(I124&lt;=9,"умерен",IF(I124&lt;=15,"висок","критичен"))))</f>
        <v/>
      </c>
      <c r="K124" s="19" t="str">
        <f aca="false">IF(I124="","",IF(I124&lt;=Скали!$B$1,"да","не"))</f>
        <v/>
      </c>
      <c r="L124" s="16"/>
      <c r="M124" s="16"/>
      <c r="N124" s="16"/>
      <c r="O124" s="16"/>
      <c r="P124" s="16"/>
      <c r="Q124" s="16"/>
      <c r="R124" s="18" t="str">
        <f aca="false">IF(OR(P124="",Q124=""),"",P124*Q124)</f>
        <v/>
      </c>
      <c r="S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8" t="str">
        <f aca="false">IF(OR(G125="",H125=""),"",G125*H125)</f>
        <v/>
      </c>
      <c r="J125" s="19" t="str">
        <f aca="false">IF(I125="","",IF(I125&lt;=4,"нисък",IF(I125&lt;=9,"умерен",IF(I125&lt;=15,"висок","критичен"))))</f>
        <v/>
      </c>
      <c r="K125" s="19" t="str">
        <f aca="false">IF(I125="","",IF(I125&lt;=Скали!$B$1,"да","не"))</f>
        <v/>
      </c>
      <c r="L125" s="16"/>
      <c r="M125" s="16"/>
      <c r="N125" s="16"/>
      <c r="O125" s="16"/>
      <c r="P125" s="16"/>
      <c r="Q125" s="16"/>
      <c r="R125" s="18" t="str">
        <f aca="false">IF(OR(P125="",Q125=""),"",P125*Q125)</f>
        <v/>
      </c>
      <c r="S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8" t="str">
        <f aca="false">IF(OR(G126="",H126=""),"",G126*H126)</f>
        <v/>
      </c>
      <c r="J126" s="19" t="str">
        <f aca="false">IF(I126="","",IF(I126&lt;=4,"нисък",IF(I126&lt;=9,"умерен",IF(I126&lt;=15,"висок","критичен"))))</f>
        <v/>
      </c>
      <c r="K126" s="19" t="str">
        <f aca="false">IF(I126="","",IF(I126&lt;=Скали!$B$1,"да","не"))</f>
        <v/>
      </c>
      <c r="L126" s="16"/>
      <c r="M126" s="16"/>
      <c r="N126" s="16"/>
      <c r="O126" s="16"/>
      <c r="P126" s="16"/>
      <c r="Q126" s="16"/>
      <c r="R126" s="18" t="str">
        <f aca="false">IF(OR(P126="",Q126=""),"",P126*Q126)</f>
        <v/>
      </c>
      <c r="S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8" t="str">
        <f aca="false">IF(OR(G127="",H127=""),"",G127*H127)</f>
        <v/>
      </c>
      <c r="J127" s="19" t="str">
        <f aca="false">IF(I127="","",IF(I127&lt;=4,"нисък",IF(I127&lt;=9,"умерен",IF(I127&lt;=15,"висок","критичен"))))</f>
        <v/>
      </c>
      <c r="K127" s="19" t="str">
        <f aca="false">IF(I127="","",IF(I127&lt;=Скали!$B$1,"да","не"))</f>
        <v/>
      </c>
      <c r="L127" s="16"/>
      <c r="M127" s="16"/>
      <c r="N127" s="16"/>
      <c r="O127" s="16"/>
      <c r="P127" s="16"/>
      <c r="Q127" s="16"/>
      <c r="R127" s="18" t="str">
        <f aca="false">IF(OR(P127="",Q127=""),"",P127*Q127)</f>
        <v/>
      </c>
      <c r="S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8" t="str">
        <f aca="false">IF(OR(G128="",H128=""),"",G128*H128)</f>
        <v/>
      </c>
      <c r="J128" s="19" t="str">
        <f aca="false">IF(I128="","",IF(I128&lt;=4,"нисък",IF(I128&lt;=9,"умерен",IF(I128&lt;=15,"висок","критичен"))))</f>
        <v/>
      </c>
      <c r="K128" s="19" t="str">
        <f aca="false">IF(I128="","",IF(I128&lt;=Скали!$B$1,"да","не"))</f>
        <v/>
      </c>
      <c r="L128" s="16"/>
      <c r="M128" s="16"/>
      <c r="N128" s="16"/>
      <c r="O128" s="16"/>
      <c r="P128" s="16"/>
      <c r="Q128" s="16"/>
      <c r="R128" s="18" t="str">
        <f aca="false">IF(OR(P128="",Q128=""),"",P128*Q128)</f>
        <v/>
      </c>
      <c r="S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8" t="str">
        <f aca="false">IF(OR(G129="",H129=""),"",G129*H129)</f>
        <v/>
      </c>
      <c r="J129" s="19" t="str">
        <f aca="false">IF(I129="","",IF(I129&lt;=4,"нисък",IF(I129&lt;=9,"умерен",IF(I129&lt;=15,"висок","критичен"))))</f>
        <v/>
      </c>
      <c r="K129" s="19" t="str">
        <f aca="false">IF(I129="","",IF(I129&lt;=Скали!$B$1,"да","не"))</f>
        <v/>
      </c>
      <c r="L129" s="16"/>
      <c r="M129" s="16"/>
      <c r="N129" s="16"/>
      <c r="O129" s="16"/>
      <c r="P129" s="16"/>
      <c r="Q129" s="16"/>
      <c r="R129" s="18" t="str">
        <f aca="false">IF(OR(P129="",Q129=""),"",P129*Q129)</f>
        <v/>
      </c>
      <c r="S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8" t="str">
        <f aca="false">IF(OR(G130="",H130=""),"",G130*H130)</f>
        <v/>
      </c>
      <c r="J130" s="19" t="str">
        <f aca="false">IF(I130="","",IF(I130&lt;=4,"нисък",IF(I130&lt;=9,"умерен",IF(I130&lt;=15,"висок","критичен"))))</f>
        <v/>
      </c>
      <c r="K130" s="19" t="str">
        <f aca="false">IF(I130="","",IF(I130&lt;=Скали!$B$1,"да","не"))</f>
        <v/>
      </c>
      <c r="L130" s="16"/>
      <c r="M130" s="16"/>
      <c r="N130" s="16"/>
      <c r="O130" s="16"/>
      <c r="P130" s="16"/>
      <c r="Q130" s="16"/>
      <c r="R130" s="18" t="str">
        <f aca="false">IF(OR(P130="",Q130=""),"",P130*Q130)</f>
        <v/>
      </c>
      <c r="S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8" t="str">
        <f aca="false">IF(OR(G131="",H131=""),"",G131*H131)</f>
        <v/>
      </c>
      <c r="J131" s="19" t="str">
        <f aca="false">IF(I131="","",IF(I131&lt;=4,"нисък",IF(I131&lt;=9,"умерен",IF(I131&lt;=15,"висок","критичен"))))</f>
        <v/>
      </c>
      <c r="K131" s="19" t="str">
        <f aca="false">IF(I131="","",IF(I131&lt;=Скали!$B$1,"да","не"))</f>
        <v/>
      </c>
      <c r="L131" s="16"/>
      <c r="M131" s="16"/>
      <c r="N131" s="16"/>
      <c r="O131" s="16"/>
      <c r="P131" s="16"/>
      <c r="Q131" s="16"/>
      <c r="R131" s="18" t="str">
        <f aca="false">IF(OR(P131="",Q131=""),"",P131*Q131)</f>
        <v/>
      </c>
      <c r="S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8" t="str">
        <f aca="false">IF(OR(G132="",H132=""),"",G132*H132)</f>
        <v/>
      </c>
      <c r="J132" s="19" t="str">
        <f aca="false">IF(I132="","",IF(I132&lt;=4,"нисък",IF(I132&lt;=9,"умерен",IF(I132&lt;=15,"висок","критичен"))))</f>
        <v/>
      </c>
      <c r="K132" s="19" t="str">
        <f aca="false">IF(I132="","",IF(I132&lt;=Скали!$B$1,"да","не"))</f>
        <v/>
      </c>
      <c r="L132" s="16"/>
      <c r="M132" s="16"/>
      <c r="N132" s="16"/>
      <c r="O132" s="16"/>
      <c r="P132" s="16"/>
      <c r="Q132" s="16"/>
      <c r="R132" s="18" t="str">
        <f aca="false">IF(OR(P132="",Q132=""),"",P132*Q132)</f>
        <v/>
      </c>
      <c r="S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8" t="str">
        <f aca="false">IF(OR(G133="",H133=""),"",G133*H133)</f>
        <v/>
      </c>
      <c r="J133" s="19" t="str">
        <f aca="false">IF(I133="","",IF(I133&lt;=4,"нисък",IF(I133&lt;=9,"умерен",IF(I133&lt;=15,"висок","критичен"))))</f>
        <v/>
      </c>
      <c r="K133" s="19" t="str">
        <f aca="false">IF(I133="","",IF(I133&lt;=Скали!$B$1,"да","не"))</f>
        <v/>
      </c>
      <c r="L133" s="16"/>
      <c r="M133" s="16"/>
      <c r="N133" s="16"/>
      <c r="O133" s="16"/>
      <c r="P133" s="16"/>
      <c r="Q133" s="16"/>
      <c r="R133" s="18" t="str">
        <f aca="false">IF(OR(P133="",Q133=""),"",P133*Q133)</f>
        <v/>
      </c>
      <c r="S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8" t="str">
        <f aca="false">IF(OR(G134="",H134=""),"",G134*H134)</f>
        <v/>
      </c>
      <c r="J134" s="19" t="str">
        <f aca="false">IF(I134="","",IF(I134&lt;=4,"нисък",IF(I134&lt;=9,"умерен",IF(I134&lt;=15,"висок","критичен"))))</f>
        <v/>
      </c>
      <c r="K134" s="19" t="str">
        <f aca="false">IF(I134="","",IF(I134&lt;=Скали!$B$1,"да","не"))</f>
        <v/>
      </c>
      <c r="L134" s="16"/>
      <c r="M134" s="16"/>
      <c r="N134" s="16"/>
      <c r="O134" s="16"/>
      <c r="P134" s="16"/>
      <c r="Q134" s="16"/>
      <c r="R134" s="18" t="str">
        <f aca="false">IF(OR(P134="",Q134=""),"",P134*Q134)</f>
        <v/>
      </c>
      <c r="S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8" t="str">
        <f aca="false">IF(OR(G135="",H135=""),"",G135*H135)</f>
        <v/>
      </c>
      <c r="J135" s="19" t="str">
        <f aca="false">IF(I135="","",IF(I135&lt;=4,"нисък",IF(I135&lt;=9,"умерен",IF(I135&lt;=15,"висок","критичен"))))</f>
        <v/>
      </c>
      <c r="K135" s="19" t="str">
        <f aca="false">IF(I135="","",IF(I135&lt;=Скали!$B$1,"да","не"))</f>
        <v/>
      </c>
      <c r="L135" s="16"/>
      <c r="M135" s="16"/>
      <c r="N135" s="16"/>
      <c r="O135" s="16"/>
      <c r="P135" s="16"/>
      <c r="Q135" s="16"/>
      <c r="R135" s="18" t="str">
        <f aca="false">IF(OR(P135="",Q135=""),"",P135*Q135)</f>
        <v/>
      </c>
      <c r="S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8" t="str">
        <f aca="false">IF(OR(G136="",H136=""),"",G136*H136)</f>
        <v/>
      </c>
      <c r="J136" s="19" t="str">
        <f aca="false">IF(I136="","",IF(I136&lt;=4,"нисък",IF(I136&lt;=9,"умерен",IF(I136&lt;=15,"висок","критичен"))))</f>
        <v/>
      </c>
      <c r="K136" s="19" t="str">
        <f aca="false">IF(I136="","",IF(I136&lt;=Скали!$B$1,"да","не"))</f>
        <v/>
      </c>
      <c r="L136" s="16"/>
      <c r="M136" s="16"/>
      <c r="N136" s="16"/>
      <c r="O136" s="16"/>
      <c r="P136" s="16"/>
      <c r="Q136" s="16"/>
      <c r="R136" s="18" t="str">
        <f aca="false">IF(OR(P136="",Q136=""),"",P136*Q136)</f>
        <v/>
      </c>
      <c r="S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8" t="str">
        <f aca="false">IF(OR(G137="",H137=""),"",G137*H137)</f>
        <v/>
      </c>
      <c r="J137" s="19" t="str">
        <f aca="false">IF(I137="","",IF(I137&lt;=4,"нисък",IF(I137&lt;=9,"умерен",IF(I137&lt;=15,"висок","критичен"))))</f>
        <v/>
      </c>
      <c r="K137" s="19" t="str">
        <f aca="false">IF(I137="","",IF(I137&lt;=Скали!$B$1,"да","не"))</f>
        <v/>
      </c>
      <c r="L137" s="16"/>
      <c r="M137" s="16"/>
      <c r="N137" s="16"/>
      <c r="O137" s="16"/>
      <c r="P137" s="16"/>
      <c r="Q137" s="16"/>
      <c r="R137" s="18" t="str">
        <f aca="false">IF(OR(P137="",Q137=""),"",P137*Q137)</f>
        <v/>
      </c>
      <c r="S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8" t="str">
        <f aca="false">IF(OR(G138="",H138=""),"",G138*H138)</f>
        <v/>
      </c>
      <c r="J138" s="19" t="str">
        <f aca="false">IF(I138="","",IF(I138&lt;=4,"нисък",IF(I138&lt;=9,"умерен",IF(I138&lt;=15,"висок","критичен"))))</f>
        <v/>
      </c>
      <c r="K138" s="19" t="str">
        <f aca="false">IF(I138="","",IF(I138&lt;=Скали!$B$1,"да","не"))</f>
        <v/>
      </c>
      <c r="L138" s="16"/>
      <c r="M138" s="16"/>
      <c r="N138" s="16"/>
      <c r="O138" s="16"/>
      <c r="P138" s="16"/>
      <c r="Q138" s="16"/>
      <c r="R138" s="18" t="str">
        <f aca="false">IF(OR(P138="",Q138=""),"",P138*Q138)</f>
        <v/>
      </c>
      <c r="S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8" t="str">
        <f aca="false">IF(OR(G139="",H139=""),"",G139*H139)</f>
        <v/>
      </c>
      <c r="J139" s="19" t="str">
        <f aca="false">IF(I139="","",IF(I139&lt;=4,"нисък",IF(I139&lt;=9,"умерен",IF(I139&lt;=15,"висок","критичен"))))</f>
        <v/>
      </c>
      <c r="K139" s="19" t="str">
        <f aca="false">IF(I139="","",IF(I139&lt;=Скали!$B$1,"да","не"))</f>
        <v/>
      </c>
      <c r="L139" s="16"/>
      <c r="M139" s="16"/>
      <c r="N139" s="16"/>
      <c r="O139" s="16"/>
      <c r="P139" s="16"/>
      <c r="Q139" s="16"/>
      <c r="R139" s="18" t="str">
        <f aca="false">IF(OR(P139="",Q139=""),"",P139*Q139)</f>
        <v/>
      </c>
      <c r="S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8" t="str">
        <f aca="false">IF(OR(G140="",H140=""),"",G140*H140)</f>
        <v/>
      </c>
      <c r="J140" s="19" t="str">
        <f aca="false">IF(I140="","",IF(I140&lt;=4,"нисък",IF(I140&lt;=9,"умерен",IF(I140&lt;=15,"висок","критичен"))))</f>
        <v/>
      </c>
      <c r="K140" s="19" t="str">
        <f aca="false">IF(I140="","",IF(I140&lt;=Скали!$B$1,"да","не"))</f>
        <v/>
      </c>
      <c r="L140" s="16"/>
      <c r="M140" s="16"/>
      <c r="N140" s="16"/>
      <c r="O140" s="16"/>
      <c r="P140" s="16"/>
      <c r="Q140" s="16"/>
      <c r="R140" s="18" t="str">
        <f aca="false">IF(OR(P140="",Q140=""),"",P140*Q140)</f>
        <v/>
      </c>
      <c r="S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8" t="str">
        <f aca="false">IF(OR(G141="",H141=""),"",G141*H141)</f>
        <v/>
      </c>
      <c r="J141" s="19" t="str">
        <f aca="false">IF(I141="","",IF(I141&lt;=4,"нисък",IF(I141&lt;=9,"умерен",IF(I141&lt;=15,"висок","критичен"))))</f>
        <v/>
      </c>
      <c r="K141" s="19" t="str">
        <f aca="false">IF(I141="","",IF(I141&lt;=Скали!$B$1,"да","не"))</f>
        <v/>
      </c>
      <c r="L141" s="16"/>
      <c r="M141" s="16"/>
      <c r="N141" s="16"/>
      <c r="O141" s="16"/>
      <c r="P141" s="16"/>
      <c r="Q141" s="16"/>
      <c r="R141" s="18" t="str">
        <f aca="false">IF(OR(P141="",Q141=""),"",P141*Q141)</f>
        <v/>
      </c>
      <c r="S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8" t="str">
        <f aca="false">IF(OR(G142="",H142=""),"",G142*H142)</f>
        <v/>
      </c>
      <c r="J142" s="19" t="str">
        <f aca="false">IF(I142="","",IF(I142&lt;=4,"нисък",IF(I142&lt;=9,"умерен",IF(I142&lt;=15,"висок","критичен"))))</f>
        <v/>
      </c>
      <c r="K142" s="19" t="str">
        <f aca="false">IF(I142="","",IF(I142&lt;=Скали!$B$1,"да","не"))</f>
        <v/>
      </c>
      <c r="L142" s="16"/>
      <c r="M142" s="16"/>
      <c r="N142" s="16"/>
      <c r="O142" s="16"/>
      <c r="P142" s="16"/>
      <c r="Q142" s="16"/>
      <c r="R142" s="18" t="str">
        <f aca="false">IF(OR(P142="",Q142=""),"",P142*Q142)</f>
        <v/>
      </c>
      <c r="S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8" t="str">
        <f aca="false">IF(OR(G143="",H143=""),"",G143*H143)</f>
        <v/>
      </c>
      <c r="J143" s="19" t="str">
        <f aca="false">IF(I143="","",IF(I143&lt;=4,"нисък",IF(I143&lt;=9,"умерен",IF(I143&lt;=15,"висок","критичен"))))</f>
        <v/>
      </c>
      <c r="K143" s="19" t="str">
        <f aca="false">IF(I143="","",IF(I143&lt;=Скали!$B$1,"да","не"))</f>
        <v/>
      </c>
      <c r="L143" s="16"/>
      <c r="M143" s="16"/>
      <c r="N143" s="16"/>
      <c r="O143" s="16"/>
      <c r="P143" s="16"/>
      <c r="Q143" s="16"/>
      <c r="R143" s="18" t="str">
        <f aca="false">IF(OR(P143="",Q143=""),"",P143*Q143)</f>
        <v/>
      </c>
      <c r="S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8" t="str">
        <f aca="false">IF(OR(G144="",H144=""),"",G144*H144)</f>
        <v/>
      </c>
      <c r="J144" s="19" t="str">
        <f aca="false">IF(I144="","",IF(I144&lt;=4,"нисък",IF(I144&lt;=9,"умерен",IF(I144&lt;=15,"висок","критичен"))))</f>
        <v/>
      </c>
      <c r="K144" s="19" t="str">
        <f aca="false">IF(I144="","",IF(I144&lt;=Скали!$B$1,"да","не"))</f>
        <v/>
      </c>
      <c r="L144" s="16"/>
      <c r="M144" s="16"/>
      <c r="N144" s="16"/>
      <c r="O144" s="16"/>
      <c r="P144" s="16"/>
      <c r="Q144" s="16"/>
      <c r="R144" s="18" t="str">
        <f aca="false">IF(OR(P144="",Q144=""),"",P144*Q144)</f>
        <v/>
      </c>
      <c r="S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8" t="str">
        <f aca="false">IF(OR(G145="",H145=""),"",G145*H145)</f>
        <v/>
      </c>
      <c r="J145" s="19" t="str">
        <f aca="false">IF(I145="","",IF(I145&lt;=4,"нисък",IF(I145&lt;=9,"умерен",IF(I145&lt;=15,"висок","критичен"))))</f>
        <v/>
      </c>
      <c r="K145" s="19" t="str">
        <f aca="false">IF(I145="","",IF(I145&lt;=Скали!$B$1,"да","не"))</f>
        <v/>
      </c>
      <c r="L145" s="16"/>
      <c r="M145" s="16"/>
      <c r="N145" s="16"/>
      <c r="O145" s="16"/>
      <c r="P145" s="16"/>
      <c r="Q145" s="16"/>
      <c r="R145" s="18" t="str">
        <f aca="false">IF(OR(P145="",Q145=""),"",P145*Q145)</f>
        <v/>
      </c>
      <c r="S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8" t="str">
        <f aca="false">IF(OR(G146="",H146=""),"",G146*H146)</f>
        <v/>
      </c>
      <c r="J146" s="19" t="str">
        <f aca="false">IF(I146="","",IF(I146&lt;=4,"нисък",IF(I146&lt;=9,"умерен",IF(I146&lt;=15,"висок","критичен"))))</f>
        <v/>
      </c>
      <c r="K146" s="19" t="str">
        <f aca="false">IF(I146="","",IF(I146&lt;=Скали!$B$1,"да","не"))</f>
        <v/>
      </c>
      <c r="L146" s="16"/>
      <c r="M146" s="16"/>
      <c r="N146" s="16"/>
      <c r="O146" s="16"/>
      <c r="P146" s="16"/>
      <c r="Q146" s="16"/>
      <c r="R146" s="18" t="str">
        <f aca="false">IF(OR(P146="",Q146=""),"",P146*Q146)</f>
        <v/>
      </c>
      <c r="S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8" t="str">
        <f aca="false">IF(OR(G147="",H147=""),"",G147*H147)</f>
        <v/>
      </c>
      <c r="J147" s="19" t="str">
        <f aca="false">IF(I147="","",IF(I147&lt;=4,"нисък",IF(I147&lt;=9,"умерен",IF(I147&lt;=15,"висок","критичен"))))</f>
        <v/>
      </c>
      <c r="K147" s="19" t="str">
        <f aca="false">IF(I147="","",IF(I147&lt;=Скали!$B$1,"да","не"))</f>
        <v/>
      </c>
      <c r="L147" s="16"/>
      <c r="M147" s="16"/>
      <c r="N147" s="16"/>
      <c r="O147" s="16"/>
      <c r="P147" s="16"/>
      <c r="Q147" s="16"/>
      <c r="R147" s="18" t="str">
        <f aca="false">IF(OR(P147="",Q147=""),"",P147*Q147)</f>
        <v/>
      </c>
      <c r="S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8" t="str">
        <f aca="false">IF(OR(G148="",H148=""),"",G148*H148)</f>
        <v/>
      </c>
      <c r="J148" s="19" t="str">
        <f aca="false">IF(I148="","",IF(I148&lt;=4,"нисък",IF(I148&lt;=9,"умерен",IF(I148&lt;=15,"висок","критичен"))))</f>
        <v/>
      </c>
      <c r="K148" s="19" t="str">
        <f aca="false">IF(I148="","",IF(I148&lt;=Скали!$B$1,"да","не"))</f>
        <v/>
      </c>
      <c r="L148" s="16"/>
      <c r="M148" s="16"/>
      <c r="N148" s="16"/>
      <c r="O148" s="16"/>
      <c r="P148" s="16"/>
      <c r="Q148" s="16"/>
      <c r="R148" s="18" t="str">
        <f aca="false">IF(OR(P148="",Q148=""),"",P148*Q148)</f>
        <v/>
      </c>
      <c r="S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8" t="str">
        <f aca="false">IF(OR(G149="",H149=""),"",G149*H149)</f>
        <v/>
      </c>
      <c r="J149" s="19" t="str">
        <f aca="false">IF(I149="","",IF(I149&lt;=4,"нисък",IF(I149&lt;=9,"умерен",IF(I149&lt;=15,"висок","критичен"))))</f>
        <v/>
      </c>
      <c r="K149" s="19" t="str">
        <f aca="false">IF(I149="","",IF(I149&lt;=Скали!$B$1,"да","не"))</f>
        <v/>
      </c>
      <c r="L149" s="16"/>
      <c r="M149" s="16"/>
      <c r="N149" s="16"/>
      <c r="O149" s="16"/>
      <c r="P149" s="16"/>
      <c r="Q149" s="16"/>
      <c r="R149" s="18" t="str">
        <f aca="false">IF(OR(P149="",Q149=""),"",P149*Q149)</f>
        <v/>
      </c>
      <c r="S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8" t="str">
        <f aca="false">IF(OR(G150="",H150=""),"",G150*H150)</f>
        <v/>
      </c>
      <c r="J150" s="19" t="str">
        <f aca="false">IF(I150="","",IF(I150&lt;=4,"нисък",IF(I150&lt;=9,"умерен",IF(I150&lt;=15,"висок","критичен"))))</f>
        <v/>
      </c>
      <c r="K150" s="19" t="str">
        <f aca="false">IF(I150="","",IF(I150&lt;=Скали!$B$1,"да","не"))</f>
        <v/>
      </c>
      <c r="L150" s="16"/>
      <c r="M150" s="16"/>
      <c r="N150" s="16"/>
      <c r="O150" s="16"/>
      <c r="P150" s="16"/>
      <c r="Q150" s="16"/>
      <c r="R150" s="18" t="str">
        <f aca="false">IF(OR(P150="",Q150=""),"",P150*Q150)</f>
        <v/>
      </c>
      <c r="S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8" t="str">
        <f aca="false">IF(OR(G151="",H151=""),"",G151*H151)</f>
        <v/>
      </c>
      <c r="J151" s="19" t="str">
        <f aca="false">IF(I151="","",IF(I151&lt;=4,"нисък",IF(I151&lt;=9,"умерен",IF(I151&lt;=15,"висок","критичен"))))</f>
        <v/>
      </c>
      <c r="K151" s="19" t="str">
        <f aca="false">IF(I151="","",IF(I151&lt;=Скали!$B$1,"да","не"))</f>
        <v/>
      </c>
      <c r="L151" s="16"/>
      <c r="M151" s="16"/>
      <c r="N151" s="16"/>
      <c r="O151" s="16"/>
      <c r="P151" s="16"/>
      <c r="Q151" s="16"/>
      <c r="R151" s="18" t="str">
        <f aca="false">IF(OR(P151="",Q151=""),"",P151*Q151)</f>
        <v/>
      </c>
      <c r="S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8" t="str">
        <f aca="false">IF(OR(G152="",H152=""),"",G152*H152)</f>
        <v/>
      </c>
      <c r="J152" s="19" t="str">
        <f aca="false">IF(I152="","",IF(I152&lt;=4,"нисък",IF(I152&lt;=9,"умерен",IF(I152&lt;=15,"висок","критичен"))))</f>
        <v/>
      </c>
      <c r="K152" s="19" t="str">
        <f aca="false">IF(I152="","",IF(I152&lt;=Скали!$B$1,"да","не"))</f>
        <v/>
      </c>
      <c r="L152" s="16"/>
      <c r="M152" s="16"/>
      <c r="N152" s="16"/>
      <c r="O152" s="16"/>
      <c r="P152" s="16"/>
      <c r="Q152" s="16"/>
      <c r="R152" s="18" t="str">
        <f aca="false">IF(OR(P152="",Q152=""),"",P152*Q152)</f>
        <v/>
      </c>
      <c r="S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8" t="str">
        <f aca="false">IF(OR(G153="",H153=""),"",G153*H153)</f>
        <v/>
      </c>
      <c r="J153" s="19" t="str">
        <f aca="false">IF(I153="","",IF(I153&lt;=4,"нисък",IF(I153&lt;=9,"умерен",IF(I153&lt;=15,"висок","критичен"))))</f>
        <v/>
      </c>
      <c r="K153" s="19" t="str">
        <f aca="false">IF(I153="","",IF(I153&lt;=Скали!$B$1,"да","не"))</f>
        <v/>
      </c>
      <c r="L153" s="16"/>
      <c r="M153" s="16"/>
      <c r="N153" s="16"/>
      <c r="O153" s="16"/>
      <c r="P153" s="16"/>
      <c r="Q153" s="16"/>
      <c r="R153" s="18" t="str">
        <f aca="false">IF(OR(P153="",Q153=""),"",P153*Q153)</f>
        <v/>
      </c>
      <c r="S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8" t="str">
        <f aca="false">IF(OR(G154="",H154=""),"",G154*H154)</f>
        <v/>
      </c>
      <c r="J154" s="19" t="str">
        <f aca="false">IF(I154="","",IF(I154&lt;=4,"нисък",IF(I154&lt;=9,"умерен",IF(I154&lt;=15,"висок","критичен"))))</f>
        <v/>
      </c>
      <c r="K154" s="19" t="str">
        <f aca="false">IF(I154="","",IF(I154&lt;=Скали!$B$1,"да","не"))</f>
        <v/>
      </c>
      <c r="L154" s="16"/>
      <c r="M154" s="16"/>
      <c r="N154" s="16"/>
      <c r="O154" s="16"/>
      <c r="P154" s="16"/>
      <c r="Q154" s="16"/>
      <c r="R154" s="18" t="str">
        <f aca="false">IF(OR(P154="",Q154=""),"",P154*Q154)</f>
        <v/>
      </c>
      <c r="S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8" t="str">
        <f aca="false">IF(OR(G155="",H155=""),"",G155*H155)</f>
        <v/>
      </c>
      <c r="J155" s="19" t="str">
        <f aca="false">IF(I155="","",IF(I155&lt;=4,"нисък",IF(I155&lt;=9,"умерен",IF(I155&lt;=15,"висок","критичен"))))</f>
        <v/>
      </c>
      <c r="K155" s="19" t="str">
        <f aca="false">IF(I155="","",IF(I155&lt;=Скали!$B$1,"да","не"))</f>
        <v/>
      </c>
      <c r="L155" s="16"/>
      <c r="M155" s="16"/>
      <c r="N155" s="16"/>
      <c r="O155" s="16"/>
      <c r="P155" s="16"/>
      <c r="Q155" s="16"/>
      <c r="R155" s="18" t="str">
        <f aca="false">IF(OR(P155="",Q155=""),"",P155*Q155)</f>
        <v/>
      </c>
      <c r="S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8" t="str">
        <f aca="false">IF(OR(G156="",H156=""),"",G156*H156)</f>
        <v/>
      </c>
      <c r="J156" s="19" t="str">
        <f aca="false">IF(I156="","",IF(I156&lt;=4,"нисък",IF(I156&lt;=9,"умерен",IF(I156&lt;=15,"висок","критичен"))))</f>
        <v/>
      </c>
      <c r="K156" s="19" t="str">
        <f aca="false">IF(I156="","",IF(I156&lt;=Скали!$B$1,"да","не"))</f>
        <v/>
      </c>
      <c r="L156" s="16"/>
      <c r="M156" s="16"/>
      <c r="N156" s="16"/>
      <c r="O156" s="16"/>
      <c r="P156" s="16"/>
      <c r="Q156" s="16"/>
      <c r="R156" s="18" t="str">
        <f aca="false">IF(OR(P156="",Q156=""),"",P156*Q156)</f>
        <v/>
      </c>
      <c r="S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8" t="str">
        <f aca="false">IF(OR(G157="",H157=""),"",G157*H157)</f>
        <v/>
      </c>
      <c r="J157" s="19" t="str">
        <f aca="false">IF(I157="","",IF(I157&lt;=4,"нисък",IF(I157&lt;=9,"умерен",IF(I157&lt;=15,"висок","критичен"))))</f>
        <v/>
      </c>
      <c r="K157" s="19" t="str">
        <f aca="false">IF(I157="","",IF(I157&lt;=Скали!$B$1,"да","не"))</f>
        <v/>
      </c>
      <c r="L157" s="16"/>
      <c r="M157" s="16"/>
      <c r="N157" s="16"/>
      <c r="O157" s="16"/>
      <c r="P157" s="16"/>
      <c r="Q157" s="16"/>
      <c r="R157" s="18" t="str">
        <f aca="false">IF(OR(P157="",Q157=""),"",P157*Q157)</f>
        <v/>
      </c>
      <c r="S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8" t="str">
        <f aca="false">IF(OR(G158="",H158=""),"",G158*H158)</f>
        <v/>
      </c>
      <c r="J158" s="19" t="str">
        <f aca="false">IF(I158="","",IF(I158&lt;=4,"нисък",IF(I158&lt;=9,"умерен",IF(I158&lt;=15,"висок","критичен"))))</f>
        <v/>
      </c>
      <c r="K158" s="19" t="str">
        <f aca="false">IF(I158="","",IF(I158&lt;=Скали!$B$1,"да","не"))</f>
        <v/>
      </c>
      <c r="L158" s="16"/>
      <c r="M158" s="16"/>
      <c r="N158" s="16"/>
      <c r="O158" s="16"/>
      <c r="P158" s="16"/>
      <c r="Q158" s="16"/>
      <c r="R158" s="18" t="str">
        <f aca="false">IF(OR(P158="",Q158=""),"",P158*Q158)</f>
        <v/>
      </c>
      <c r="S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8" t="str">
        <f aca="false">IF(OR(G159="",H159=""),"",G159*H159)</f>
        <v/>
      </c>
      <c r="J159" s="19" t="str">
        <f aca="false">IF(I159="","",IF(I159&lt;=4,"нисък",IF(I159&lt;=9,"умерен",IF(I159&lt;=15,"висок","критичен"))))</f>
        <v/>
      </c>
      <c r="K159" s="19" t="str">
        <f aca="false">IF(I159="","",IF(I159&lt;=Скали!$B$1,"да","не"))</f>
        <v/>
      </c>
      <c r="L159" s="16"/>
      <c r="M159" s="16"/>
      <c r="N159" s="16"/>
      <c r="O159" s="16"/>
      <c r="P159" s="16"/>
      <c r="Q159" s="16"/>
      <c r="R159" s="18" t="str">
        <f aca="false">IF(OR(P159="",Q159=""),"",P159*Q159)</f>
        <v/>
      </c>
      <c r="S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8" t="str">
        <f aca="false">IF(OR(G160="",H160=""),"",G160*H160)</f>
        <v/>
      </c>
      <c r="J160" s="19" t="str">
        <f aca="false">IF(I160="","",IF(I160&lt;=4,"нисък",IF(I160&lt;=9,"умерен",IF(I160&lt;=15,"висок","критичен"))))</f>
        <v/>
      </c>
      <c r="K160" s="19" t="str">
        <f aca="false">IF(I160="","",IF(I160&lt;=Скали!$B$1,"да","не"))</f>
        <v/>
      </c>
      <c r="L160" s="16"/>
      <c r="M160" s="16"/>
      <c r="N160" s="16"/>
      <c r="O160" s="16"/>
      <c r="P160" s="16"/>
      <c r="Q160" s="16"/>
      <c r="R160" s="18" t="str">
        <f aca="false">IF(OR(P160="",Q160=""),"",P160*Q160)</f>
        <v/>
      </c>
      <c r="S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8" t="str">
        <f aca="false">IF(OR(G161="",H161=""),"",G161*H161)</f>
        <v/>
      </c>
      <c r="J161" s="19" t="str">
        <f aca="false">IF(I161="","",IF(I161&lt;=4,"нисък",IF(I161&lt;=9,"умерен",IF(I161&lt;=15,"висок","критичен"))))</f>
        <v/>
      </c>
      <c r="K161" s="19" t="str">
        <f aca="false">IF(I161="","",IF(I161&lt;=Скали!$B$1,"да","не"))</f>
        <v/>
      </c>
      <c r="L161" s="16"/>
      <c r="M161" s="16"/>
      <c r="N161" s="16"/>
      <c r="O161" s="16"/>
      <c r="P161" s="16"/>
      <c r="Q161" s="16"/>
      <c r="R161" s="18" t="str">
        <f aca="false">IF(OR(P161="",Q161=""),"",P161*Q161)</f>
        <v/>
      </c>
      <c r="S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8" t="str">
        <f aca="false">IF(OR(G162="",H162=""),"",G162*H162)</f>
        <v/>
      </c>
      <c r="J162" s="19" t="str">
        <f aca="false">IF(I162="","",IF(I162&lt;=4,"нисък",IF(I162&lt;=9,"умерен",IF(I162&lt;=15,"висок","критичен"))))</f>
        <v/>
      </c>
      <c r="K162" s="19" t="str">
        <f aca="false">IF(I162="","",IF(I162&lt;=Скали!$B$1,"да","не"))</f>
        <v/>
      </c>
      <c r="L162" s="16"/>
      <c r="M162" s="16"/>
      <c r="N162" s="16"/>
      <c r="O162" s="16"/>
      <c r="P162" s="16"/>
      <c r="Q162" s="16"/>
      <c r="R162" s="18" t="str">
        <f aca="false">IF(OR(P162="",Q162=""),"",P162*Q162)</f>
        <v/>
      </c>
      <c r="S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8" t="str">
        <f aca="false">IF(OR(G163="",H163=""),"",G163*H163)</f>
        <v/>
      </c>
      <c r="J163" s="19" t="str">
        <f aca="false">IF(I163="","",IF(I163&lt;=4,"нисък",IF(I163&lt;=9,"умерен",IF(I163&lt;=15,"висок","критичен"))))</f>
        <v/>
      </c>
      <c r="K163" s="19" t="str">
        <f aca="false">IF(I163="","",IF(I163&lt;=Скали!$B$1,"да","не"))</f>
        <v/>
      </c>
      <c r="L163" s="16"/>
      <c r="M163" s="16"/>
      <c r="N163" s="16"/>
      <c r="O163" s="16"/>
      <c r="P163" s="16"/>
      <c r="Q163" s="16"/>
      <c r="R163" s="18" t="str">
        <f aca="false">IF(OR(P163="",Q163=""),"",P163*Q163)</f>
        <v/>
      </c>
      <c r="S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8" t="str">
        <f aca="false">IF(OR(G164="",H164=""),"",G164*H164)</f>
        <v/>
      </c>
      <c r="J164" s="19" t="str">
        <f aca="false">IF(I164="","",IF(I164&lt;=4,"нисък",IF(I164&lt;=9,"умерен",IF(I164&lt;=15,"висок","критичен"))))</f>
        <v/>
      </c>
      <c r="K164" s="19" t="str">
        <f aca="false">IF(I164="","",IF(I164&lt;=Скали!$B$1,"да","не"))</f>
        <v/>
      </c>
      <c r="L164" s="16"/>
      <c r="M164" s="16"/>
      <c r="N164" s="16"/>
      <c r="O164" s="16"/>
      <c r="P164" s="16"/>
      <c r="Q164" s="16"/>
      <c r="R164" s="18" t="str">
        <f aca="false">IF(OR(P164="",Q164=""),"",P164*Q164)</f>
        <v/>
      </c>
      <c r="S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8" t="str">
        <f aca="false">IF(OR(G165="",H165=""),"",G165*H165)</f>
        <v/>
      </c>
      <c r="J165" s="19" t="str">
        <f aca="false">IF(I165="","",IF(I165&lt;=4,"нисък",IF(I165&lt;=9,"умерен",IF(I165&lt;=15,"висок","критичен"))))</f>
        <v/>
      </c>
      <c r="K165" s="19" t="str">
        <f aca="false">IF(I165="","",IF(I165&lt;=Скали!$B$1,"да","не"))</f>
        <v/>
      </c>
      <c r="L165" s="16"/>
      <c r="M165" s="16"/>
      <c r="N165" s="16"/>
      <c r="O165" s="16"/>
      <c r="P165" s="16"/>
      <c r="Q165" s="16"/>
      <c r="R165" s="18" t="str">
        <f aca="false">IF(OR(P165="",Q165=""),"",P165*Q165)</f>
        <v/>
      </c>
      <c r="S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8" t="str">
        <f aca="false">IF(OR(G166="",H166=""),"",G166*H166)</f>
        <v/>
      </c>
      <c r="J166" s="19" t="str">
        <f aca="false">IF(I166="","",IF(I166&lt;=4,"нисък",IF(I166&lt;=9,"умерен",IF(I166&lt;=15,"висок","критичен"))))</f>
        <v/>
      </c>
      <c r="K166" s="19" t="str">
        <f aca="false">IF(I166="","",IF(I166&lt;=Скали!$B$1,"да","не"))</f>
        <v/>
      </c>
      <c r="L166" s="16"/>
      <c r="M166" s="16"/>
      <c r="N166" s="16"/>
      <c r="O166" s="16"/>
      <c r="P166" s="16"/>
      <c r="Q166" s="16"/>
      <c r="R166" s="18" t="str">
        <f aca="false">IF(OR(P166="",Q166=""),"",P166*Q166)</f>
        <v/>
      </c>
      <c r="S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8" t="str">
        <f aca="false">IF(OR(G167="",H167=""),"",G167*H167)</f>
        <v/>
      </c>
      <c r="J167" s="19" t="str">
        <f aca="false">IF(I167="","",IF(I167&lt;=4,"нисък",IF(I167&lt;=9,"умерен",IF(I167&lt;=15,"висок","критичен"))))</f>
        <v/>
      </c>
      <c r="K167" s="19" t="str">
        <f aca="false">IF(I167="","",IF(I167&lt;=Скали!$B$1,"да","не"))</f>
        <v/>
      </c>
      <c r="L167" s="16"/>
      <c r="M167" s="16"/>
      <c r="N167" s="16"/>
      <c r="O167" s="16"/>
      <c r="P167" s="16"/>
      <c r="Q167" s="16"/>
      <c r="R167" s="18" t="str">
        <f aca="false">IF(OR(P167="",Q167=""),"",P167*Q167)</f>
        <v/>
      </c>
      <c r="S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8" t="str">
        <f aca="false">IF(OR(G168="",H168=""),"",G168*H168)</f>
        <v/>
      </c>
      <c r="J168" s="19" t="str">
        <f aca="false">IF(I168="","",IF(I168&lt;=4,"нисък",IF(I168&lt;=9,"умерен",IF(I168&lt;=15,"висок","критичен"))))</f>
        <v/>
      </c>
      <c r="K168" s="19" t="str">
        <f aca="false">IF(I168="","",IF(I168&lt;=Скали!$B$1,"да","не"))</f>
        <v/>
      </c>
      <c r="L168" s="16"/>
      <c r="M168" s="16"/>
      <c r="N168" s="16"/>
      <c r="O168" s="16"/>
      <c r="P168" s="16"/>
      <c r="Q168" s="16"/>
      <c r="R168" s="18" t="str">
        <f aca="false">IF(OR(P168="",Q168=""),"",P168*Q168)</f>
        <v/>
      </c>
      <c r="S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8" t="str">
        <f aca="false">IF(OR(G169="",H169=""),"",G169*H169)</f>
        <v/>
      </c>
      <c r="J169" s="19" t="str">
        <f aca="false">IF(I169="","",IF(I169&lt;=4,"нисък",IF(I169&lt;=9,"умерен",IF(I169&lt;=15,"висок","критичен"))))</f>
        <v/>
      </c>
      <c r="K169" s="19" t="str">
        <f aca="false">IF(I169="","",IF(I169&lt;=Скали!$B$1,"да","не"))</f>
        <v/>
      </c>
      <c r="L169" s="16"/>
      <c r="M169" s="16"/>
      <c r="N169" s="16"/>
      <c r="O169" s="16"/>
      <c r="P169" s="16"/>
      <c r="Q169" s="16"/>
      <c r="R169" s="18" t="str">
        <f aca="false">IF(OR(P169="",Q169=""),"",P169*Q169)</f>
        <v/>
      </c>
      <c r="S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8" t="str">
        <f aca="false">IF(OR(G170="",H170=""),"",G170*H170)</f>
        <v/>
      </c>
      <c r="J170" s="19" t="str">
        <f aca="false">IF(I170="","",IF(I170&lt;=4,"нисък",IF(I170&lt;=9,"умерен",IF(I170&lt;=15,"висок","критичен"))))</f>
        <v/>
      </c>
      <c r="K170" s="19" t="str">
        <f aca="false">IF(I170="","",IF(I170&lt;=Скали!$B$1,"да","не"))</f>
        <v/>
      </c>
      <c r="L170" s="16"/>
      <c r="M170" s="16"/>
      <c r="N170" s="16"/>
      <c r="O170" s="16"/>
      <c r="P170" s="16"/>
      <c r="Q170" s="16"/>
      <c r="R170" s="18" t="str">
        <f aca="false">IF(OR(P170="",Q170=""),"",P170*Q170)</f>
        <v/>
      </c>
      <c r="S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8" t="str">
        <f aca="false">IF(OR(G171="",H171=""),"",G171*H171)</f>
        <v/>
      </c>
      <c r="J171" s="19" t="str">
        <f aca="false">IF(I171="","",IF(I171&lt;=4,"нисък",IF(I171&lt;=9,"умерен",IF(I171&lt;=15,"висок","критичен"))))</f>
        <v/>
      </c>
      <c r="K171" s="19" t="str">
        <f aca="false">IF(I171="","",IF(I171&lt;=Скали!$B$1,"да","не"))</f>
        <v/>
      </c>
      <c r="L171" s="16"/>
      <c r="M171" s="16"/>
      <c r="N171" s="16"/>
      <c r="O171" s="16"/>
      <c r="P171" s="16"/>
      <c r="Q171" s="16"/>
      <c r="R171" s="18" t="str">
        <f aca="false">IF(OR(P171="",Q171=""),"",P171*Q171)</f>
        <v/>
      </c>
      <c r="S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8" t="str">
        <f aca="false">IF(OR(G172="",H172=""),"",G172*H172)</f>
        <v/>
      </c>
      <c r="J172" s="19" t="str">
        <f aca="false">IF(I172="","",IF(I172&lt;=4,"нисък",IF(I172&lt;=9,"умерен",IF(I172&lt;=15,"висок","критичен"))))</f>
        <v/>
      </c>
      <c r="K172" s="19" t="str">
        <f aca="false">IF(I172="","",IF(I172&lt;=Скали!$B$1,"да","не"))</f>
        <v/>
      </c>
      <c r="L172" s="16"/>
      <c r="M172" s="16"/>
      <c r="N172" s="16"/>
      <c r="O172" s="16"/>
      <c r="P172" s="16"/>
      <c r="Q172" s="16"/>
      <c r="R172" s="18" t="str">
        <f aca="false">IF(OR(P172="",Q172=""),"",P172*Q172)</f>
        <v/>
      </c>
      <c r="S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8" t="str">
        <f aca="false">IF(OR(G173="",H173=""),"",G173*H173)</f>
        <v/>
      </c>
      <c r="J173" s="19" t="str">
        <f aca="false">IF(I173="","",IF(I173&lt;=4,"нисък",IF(I173&lt;=9,"умерен",IF(I173&lt;=15,"висок","критичен"))))</f>
        <v/>
      </c>
      <c r="K173" s="19" t="str">
        <f aca="false">IF(I173="","",IF(I173&lt;=Скали!$B$1,"да","не"))</f>
        <v/>
      </c>
      <c r="L173" s="16"/>
      <c r="M173" s="16"/>
      <c r="N173" s="16"/>
      <c r="O173" s="16"/>
      <c r="P173" s="16"/>
      <c r="Q173" s="16"/>
      <c r="R173" s="18" t="str">
        <f aca="false">IF(OR(P173="",Q173=""),"",P173*Q173)</f>
        <v/>
      </c>
      <c r="S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8" t="str">
        <f aca="false">IF(OR(G174="",H174=""),"",G174*H174)</f>
        <v/>
      </c>
      <c r="J174" s="19" t="str">
        <f aca="false">IF(I174="","",IF(I174&lt;=4,"нисък",IF(I174&lt;=9,"умерен",IF(I174&lt;=15,"висок","критичен"))))</f>
        <v/>
      </c>
      <c r="K174" s="19" t="str">
        <f aca="false">IF(I174="","",IF(I174&lt;=Скали!$B$1,"да","не"))</f>
        <v/>
      </c>
      <c r="L174" s="16"/>
      <c r="M174" s="16"/>
      <c r="N174" s="16"/>
      <c r="O174" s="16"/>
      <c r="P174" s="16"/>
      <c r="Q174" s="16"/>
      <c r="R174" s="18" t="str">
        <f aca="false">IF(OR(P174="",Q174=""),"",P174*Q174)</f>
        <v/>
      </c>
      <c r="S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8" t="str">
        <f aca="false">IF(OR(G175="",H175=""),"",G175*H175)</f>
        <v/>
      </c>
      <c r="J175" s="19" t="str">
        <f aca="false">IF(I175="","",IF(I175&lt;=4,"нисък",IF(I175&lt;=9,"умерен",IF(I175&lt;=15,"висок","критичен"))))</f>
        <v/>
      </c>
      <c r="K175" s="19" t="str">
        <f aca="false">IF(I175="","",IF(I175&lt;=Скали!$B$1,"да","не"))</f>
        <v/>
      </c>
      <c r="L175" s="16"/>
      <c r="M175" s="16"/>
      <c r="N175" s="16"/>
      <c r="O175" s="16"/>
      <c r="P175" s="16"/>
      <c r="Q175" s="16"/>
      <c r="R175" s="18" t="str">
        <f aca="false">IF(OR(P175="",Q175=""),"",P175*Q175)</f>
        <v/>
      </c>
      <c r="S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8" t="str">
        <f aca="false">IF(OR(G176="",H176=""),"",G176*H176)</f>
        <v/>
      </c>
      <c r="J176" s="19" t="str">
        <f aca="false">IF(I176="","",IF(I176&lt;=4,"нисък",IF(I176&lt;=9,"умерен",IF(I176&lt;=15,"висок","критичен"))))</f>
        <v/>
      </c>
      <c r="K176" s="19" t="str">
        <f aca="false">IF(I176="","",IF(I176&lt;=Скали!$B$1,"да","не"))</f>
        <v/>
      </c>
      <c r="L176" s="16"/>
      <c r="M176" s="16"/>
      <c r="N176" s="16"/>
      <c r="O176" s="16"/>
      <c r="P176" s="16"/>
      <c r="Q176" s="16"/>
      <c r="R176" s="18" t="str">
        <f aca="false">IF(OR(P176="",Q176=""),"",P176*Q176)</f>
        <v/>
      </c>
      <c r="S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8" t="str">
        <f aca="false">IF(OR(G177="",H177=""),"",G177*H177)</f>
        <v/>
      </c>
      <c r="J177" s="19" t="str">
        <f aca="false">IF(I177="","",IF(I177&lt;=4,"нисък",IF(I177&lt;=9,"умерен",IF(I177&lt;=15,"висок","критичен"))))</f>
        <v/>
      </c>
      <c r="K177" s="19" t="str">
        <f aca="false">IF(I177="","",IF(I177&lt;=Скали!$B$1,"да","не"))</f>
        <v/>
      </c>
      <c r="L177" s="16"/>
      <c r="M177" s="16"/>
      <c r="N177" s="16"/>
      <c r="O177" s="16"/>
      <c r="P177" s="16"/>
      <c r="Q177" s="16"/>
      <c r="R177" s="18" t="str">
        <f aca="false">IF(OR(P177="",Q177=""),"",P177*Q177)</f>
        <v/>
      </c>
      <c r="S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8" t="str">
        <f aca="false">IF(OR(G178="",H178=""),"",G178*H178)</f>
        <v/>
      </c>
      <c r="J178" s="19" t="str">
        <f aca="false">IF(I178="","",IF(I178&lt;=4,"нисък",IF(I178&lt;=9,"умерен",IF(I178&lt;=15,"висок","критичен"))))</f>
        <v/>
      </c>
      <c r="K178" s="19" t="str">
        <f aca="false">IF(I178="","",IF(I178&lt;=Скали!$B$1,"да","не"))</f>
        <v/>
      </c>
      <c r="L178" s="16"/>
      <c r="M178" s="16"/>
      <c r="N178" s="16"/>
      <c r="O178" s="16"/>
      <c r="P178" s="16"/>
      <c r="Q178" s="16"/>
      <c r="R178" s="18" t="str">
        <f aca="false">IF(OR(P178="",Q178=""),"",P178*Q178)</f>
        <v/>
      </c>
      <c r="S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8" t="str">
        <f aca="false">IF(OR(G179="",H179=""),"",G179*H179)</f>
        <v/>
      </c>
      <c r="J179" s="19" t="str">
        <f aca="false">IF(I179="","",IF(I179&lt;=4,"нисък",IF(I179&lt;=9,"умерен",IF(I179&lt;=15,"висок","критичен"))))</f>
        <v/>
      </c>
      <c r="K179" s="19" t="str">
        <f aca="false">IF(I179="","",IF(I179&lt;=Скали!$B$1,"да","не"))</f>
        <v/>
      </c>
      <c r="L179" s="16"/>
      <c r="M179" s="16"/>
      <c r="N179" s="16"/>
      <c r="O179" s="16"/>
      <c r="P179" s="16"/>
      <c r="Q179" s="16"/>
      <c r="R179" s="18" t="str">
        <f aca="false">IF(OR(P179="",Q179=""),"",P179*Q179)</f>
        <v/>
      </c>
      <c r="S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8" t="str">
        <f aca="false">IF(OR(G180="",H180=""),"",G180*H180)</f>
        <v/>
      </c>
      <c r="J180" s="19" t="str">
        <f aca="false">IF(I180="","",IF(I180&lt;=4,"нисък",IF(I180&lt;=9,"умерен",IF(I180&lt;=15,"висок","критичен"))))</f>
        <v/>
      </c>
      <c r="K180" s="19" t="str">
        <f aca="false">IF(I180="","",IF(I180&lt;=Скали!$B$1,"да","не"))</f>
        <v/>
      </c>
      <c r="L180" s="16"/>
      <c r="M180" s="16"/>
      <c r="N180" s="16"/>
      <c r="O180" s="16"/>
      <c r="P180" s="16"/>
      <c r="Q180" s="16"/>
      <c r="R180" s="18" t="str">
        <f aca="false">IF(OR(P180="",Q180=""),"",P180*Q180)</f>
        <v/>
      </c>
      <c r="S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8" t="str">
        <f aca="false">IF(OR(G181="",H181=""),"",G181*H181)</f>
        <v/>
      </c>
      <c r="J181" s="19" t="str">
        <f aca="false">IF(I181="","",IF(I181&lt;=4,"нисък",IF(I181&lt;=9,"умерен",IF(I181&lt;=15,"висок","критичен"))))</f>
        <v/>
      </c>
      <c r="K181" s="19" t="str">
        <f aca="false">IF(I181="","",IF(I181&lt;=Скали!$B$1,"да","не"))</f>
        <v/>
      </c>
      <c r="L181" s="16"/>
      <c r="M181" s="16"/>
      <c r="N181" s="16"/>
      <c r="O181" s="16"/>
      <c r="P181" s="16"/>
      <c r="Q181" s="16"/>
      <c r="R181" s="18" t="str">
        <f aca="false">IF(OR(P181="",Q181=""),"",P181*Q181)</f>
        <v/>
      </c>
      <c r="S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8" t="str">
        <f aca="false">IF(OR(G182="",H182=""),"",G182*H182)</f>
        <v/>
      </c>
      <c r="J182" s="19" t="str">
        <f aca="false">IF(I182="","",IF(I182&lt;=4,"нисък",IF(I182&lt;=9,"умерен",IF(I182&lt;=15,"висок","критичен"))))</f>
        <v/>
      </c>
      <c r="K182" s="19" t="str">
        <f aca="false">IF(I182="","",IF(I182&lt;=Скали!$B$1,"да","не"))</f>
        <v/>
      </c>
      <c r="L182" s="16"/>
      <c r="M182" s="16"/>
      <c r="N182" s="16"/>
      <c r="O182" s="16"/>
      <c r="P182" s="16"/>
      <c r="Q182" s="16"/>
      <c r="R182" s="18" t="str">
        <f aca="false">IF(OR(P182="",Q182=""),"",P182*Q182)</f>
        <v/>
      </c>
      <c r="S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8" t="str">
        <f aca="false">IF(OR(G183="",H183=""),"",G183*H183)</f>
        <v/>
      </c>
      <c r="J183" s="19" t="str">
        <f aca="false">IF(I183="","",IF(I183&lt;=4,"нисък",IF(I183&lt;=9,"умерен",IF(I183&lt;=15,"висок","критичен"))))</f>
        <v/>
      </c>
      <c r="K183" s="19" t="str">
        <f aca="false">IF(I183="","",IF(I183&lt;=Скали!$B$1,"да","не"))</f>
        <v/>
      </c>
      <c r="L183" s="16"/>
      <c r="M183" s="16"/>
      <c r="N183" s="16"/>
      <c r="O183" s="16"/>
      <c r="P183" s="16"/>
      <c r="Q183" s="16"/>
      <c r="R183" s="18" t="str">
        <f aca="false">IF(OR(P183="",Q183=""),"",P183*Q183)</f>
        <v/>
      </c>
      <c r="S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8" t="str">
        <f aca="false">IF(OR(G184="",H184=""),"",G184*H184)</f>
        <v/>
      </c>
      <c r="J184" s="19" t="str">
        <f aca="false">IF(I184="","",IF(I184&lt;=4,"нисък",IF(I184&lt;=9,"умерен",IF(I184&lt;=15,"висок","критичен"))))</f>
        <v/>
      </c>
      <c r="K184" s="19" t="str">
        <f aca="false">IF(I184="","",IF(I184&lt;=Скали!$B$1,"да","не"))</f>
        <v/>
      </c>
      <c r="L184" s="16"/>
      <c r="M184" s="16"/>
      <c r="N184" s="16"/>
      <c r="O184" s="16"/>
      <c r="P184" s="16"/>
      <c r="Q184" s="16"/>
      <c r="R184" s="18" t="str">
        <f aca="false">IF(OR(P184="",Q184=""),"",P184*Q184)</f>
        <v/>
      </c>
      <c r="S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8" t="str">
        <f aca="false">IF(OR(G185="",H185=""),"",G185*H185)</f>
        <v/>
      </c>
      <c r="J185" s="19" t="str">
        <f aca="false">IF(I185="","",IF(I185&lt;=4,"нисък",IF(I185&lt;=9,"умерен",IF(I185&lt;=15,"висок","критичен"))))</f>
        <v/>
      </c>
      <c r="K185" s="19" t="str">
        <f aca="false">IF(I185="","",IF(I185&lt;=Скали!$B$1,"да","не"))</f>
        <v/>
      </c>
      <c r="L185" s="16"/>
      <c r="M185" s="16"/>
      <c r="N185" s="16"/>
      <c r="O185" s="16"/>
      <c r="P185" s="16"/>
      <c r="Q185" s="16"/>
      <c r="R185" s="18" t="str">
        <f aca="false">IF(OR(P185="",Q185=""),"",P185*Q185)</f>
        <v/>
      </c>
      <c r="S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8" t="str">
        <f aca="false">IF(OR(G186="",H186=""),"",G186*H186)</f>
        <v/>
      </c>
      <c r="J186" s="19" t="str">
        <f aca="false">IF(I186="","",IF(I186&lt;=4,"нисък",IF(I186&lt;=9,"умерен",IF(I186&lt;=15,"висок","критичен"))))</f>
        <v/>
      </c>
      <c r="K186" s="19" t="str">
        <f aca="false">IF(I186="","",IF(I186&lt;=Скали!$B$1,"да","не"))</f>
        <v/>
      </c>
      <c r="L186" s="16"/>
      <c r="M186" s="16"/>
      <c r="N186" s="16"/>
      <c r="O186" s="16"/>
      <c r="P186" s="16"/>
      <c r="Q186" s="16"/>
      <c r="R186" s="18" t="str">
        <f aca="false">IF(OR(P186="",Q186=""),"",P186*Q186)</f>
        <v/>
      </c>
      <c r="S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8" t="str">
        <f aca="false">IF(OR(G187="",H187=""),"",G187*H187)</f>
        <v/>
      </c>
      <c r="J187" s="19" t="str">
        <f aca="false">IF(I187="","",IF(I187&lt;=4,"нисък",IF(I187&lt;=9,"умерен",IF(I187&lt;=15,"висок","критичен"))))</f>
        <v/>
      </c>
      <c r="K187" s="19" t="str">
        <f aca="false">IF(I187="","",IF(I187&lt;=Скали!$B$1,"да","не"))</f>
        <v/>
      </c>
      <c r="L187" s="16"/>
      <c r="M187" s="16"/>
      <c r="N187" s="16"/>
      <c r="O187" s="16"/>
      <c r="P187" s="16"/>
      <c r="Q187" s="16"/>
      <c r="R187" s="18" t="str">
        <f aca="false">IF(OR(P187="",Q187=""),"",P187*Q187)</f>
        <v/>
      </c>
      <c r="S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8" t="str">
        <f aca="false">IF(OR(G188="",H188=""),"",G188*H188)</f>
        <v/>
      </c>
      <c r="J188" s="19" t="str">
        <f aca="false">IF(I188="","",IF(I188&lt;=4,"нисък",IF(I188&lt;=9,"умерен",IF(I188&lt;=15,"висок","критичен"))))</f>
        <v/>
      </c>
      <c r="K188" s="19" t="str">
        <f aca="false">IF(I188="","",IF(I188&lt;=Скали!$B$1,"да","не"))</f>
        <v/>
      </c>
      <c r="L188" s="16"/>
      <c r="M188" s="16"/>
      <c r="N188" s="16"/>
      <c r="O188" s="16"/>
      <c r="P188" s="16"/>
      <c r="Q188" s="16"/>
      <c r="R188" s="18" t="str">
        <f aca="false">IF(OR(P188="",Q188=""),"",P188*Q188)</f>
        <v/>
      </c>
      <c r="S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8" t="str">
        <f aca="false">IF(OR(G189="",H189=""),"",G189*H189)</f>
        <v/>
      </c>
      <c r="J189" s="19" t="str">
        <f aca="false">IF(I189="","",IF(I189&lt;=4,"нисък",IF(I189&lt;=9,"умерен",IF(I189&lt;=15,"висок","критичен"))))</f>
        <v/>
      </c>
      <c r="K189" s="19" t="str">
        <f aca="false">IF(I189="","",IF(I189&lt;=Скали!$B$1,"да","не"))</f>
        <v/>
      </c>
      <c r="L189" s="16"/>
      <c r="M189" s="16"/>
      <c r="N189" s="16"/>
      <c r="O189" s="16"/>
      <c r="P189" s="16"/>
      <c r="Q189" s="16"/>
      <c r="R189" s="18" t="str">
        <f aca="false">IF(OR(P189="",Q189=""),"",P189*Q189)</f>
        <v/>
      </c>
      <c r="S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8" t="str">
        <f aca="false">IF(OR(G190="",H190=""),"",G190*H190)</f>
        <v/>
      </c>
      <c r="J190" s="19" t="str">
        <f aca="false">IF(I190="","",IF(I190&lt;=4,"нисък",IF(I190&lt;=9,"умерен",IF(I190&lt;=15,"висок","критичен"))))</f>
        <v/>
      </c>
      <c r="K190" s="19" t="str">
        <f aca="false">IF(I190="","",IF(I190&lt;=Скали!$B$1,"да","не"))</f>
        <v/>
      </c>
      <c r="L190" s="16"/>
      <c r="M190" s="16"/>
      <c r="N190" s="16"/>
      <c r="O190" s="16"/>
      <c r="P190" s="16"/>
      <c r="Q190" s="16"/>
      <c r="R190" s="18" t="str">
        <f aca="false">IF(OR(P190="",Q190=""),"",P190*Q190)</f>
        <v/>
      </c>
      <c r="S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8" t="str">
        <f aca="false">IF(OR(G191="",H191=""),"",G191*H191)</f>
        <v/>
      </c>
      <c r="J191" s="19" t="str">
        <f aca="false">IF(I191="","",IF(I191&lt;=4,"нисък",IF(I191&lt;=9,"умерен",IF(I191&lt;=15,"висок","критичен"))))</f>
        <v/>
      </c>
      <c r="K191" s="19" t="str">
        <f aca="false">IF(I191="","",IF(I191&lt;=Скали!$B$1,"да","не"))</f>
        <v/>
      </c>
      <c r="L191" s="16"/>
      <c r="M191" s="16"/>
      <c r="N191" s="16"/>
      <c r="O191" s="16"/>
      <c r="P191" s="16"/>
      <c r="Q191" s="16"/>
      <c r="R191" s="18" t="str">
        <f aca="false">IF(OR(P191="",Q191=""),"",P191*Q191)</f>
        <v/>
      </c>
      <c r="S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8" t="str">
        <f aca="false">IF(OR(G192="",H192=""),"",G192*H192)</f>
        <v/>
      </c>
      <c r="J192" s="19" t="str">
        <f aca="false">IF(I192="","",IF(I192&lt;=4,"нисък",IF(I192&lt;=9,"умерен",IF(I192&lt;=15,"висок","критичен"))))</f>
        <v/>
      </c>
      <c r="K192" s="19" t="str">
        <f aca="false">IF(I192="","",IF(I192&lt;=Скали!$B$1,"да","не"))</f>
        <v/>
      </c>
      <c r="L192" s="16"/>
      <c r="M192" s="16"/>
      <c r="N192" s="16"/>
      <c r="O192" s="16"/>
      <c r="P192" s="16"/>
      <c r="Q192" s="16"/>
      <c r="R192" s="18" t="str">
        <f aca="false">IF(OR(P192="",Q192=""),"",P192*Q192)</f>
        <v/>
      </c>
      <c r="S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8" t="str">
        <f aca="false">IF(OR(G193="",H193=""),"",G193*H193)</f>
        <v/>
      </c>
      <c r="J193" s="19" t="str">
        <f aca="false">IF(I193="","",IF(I193&lt;=4,"нисък",IF(I193&lt;=9,"умерен",IF(I193&lt;=15,"висок","критичен"))))</f>
        <v/>
      </c>
      <c r="K193" s="19" t="str">
        <f aca="false">IF(I193="","",IF(I193&lt;=Скали!$B$1,"да","не"))</f>
        <v/>
      </c>
      <c r="L193" s="16"/>
      <c r="M193" s="16"/>
      <c r="N193" s="16"/>
      <c r="O193" s="16"/>
      <c r="P193" s="16"/>
      <c r="Q193" s="16"/>
      <c r="R193" s="18" t="str">
        <f aca="false">IF(OR(P193="",Q193=""),"",P193*Q193)</f>
        <v/>
      </c>
      <c r="S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8" t="str">
        <f aca="false">IF(OR(G194="",H194=""),"",G194*H194)</f>
        <v/>
      </c>
      <c r="J194" s="19" t="str">
        <f aca="false">IF(I194="","",IF(I194&lt;=4,"нисък",IF(I194&lt;=9,"умерен",IF(I194&lt;=15,"висок","критичен"))))</f>
        <v/>
      </c>
      <c r="K194" s="19" t="str">
        <f aca="false">IF(I194="","",IF(I194&lt;=Скали!$B$1,"да","не"))</f>
        <v/>
      </c>
      <c r="L194" s="16"/>
      <c r="M194" s="16"/>
      <c r="N194" s="16"/>
      <c r="O194" s="16"/>
      <c r="P194" s="16"/>
      <c r="Q194" s="16"/>
      <c r="R194" s="18" t="str">
        <f aca="false">IF(OR(P194="",Q194=""),"",P194*Q194)</f>
        <v/>
      </c>
      <c r="S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8" t="str">
        <f aca="false">IF(OR(G195="",H195=""),"",G195*H195)</f>
        <v/>
      </c>
      <c r="J195" s="19" t="str">
        <f aca="false">IF(I195="","",IF(I195&lt;=4,"нисък",IF(I195&lt;=9,"умерен",IF(I195&lt;=15,"висок","критичен"))))</f>
        <v/>
      </c>
      <c r="K195" s="19" t="str">
        <f aca="false">IF(I195="","",IF(I195&lt;=Скали!$B$1,"да","не"))</f>
        <v/>
      </c>
      <c r="L195" s="16"/>
      <c r="M195" s="16"/>
      <c r="N195" s="16"/>
      <c r="O195" s="16"/>
      <c r="P195" s="16"/>
      <c r="Q195" s="16"/>
      <c r="R195" s="18" t="str">
        <f aca="false">IF(OR(P195="",Q195=""),"",P195*Q195)</f>
        <v/>
      </c>
      <c r="S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8" t="str">
        <f aca="false">IF(OR(G196="",H196=""),"",G196*H196)</f>
        <v/>
      </c>
      <c r="J196" s="19" t="str">
        <f aca="false">IF(I196="","",IF(I196&lt;=4,"нисък",IF(I196&lt;=9,"умерен",IF(I196&lt;=15,"висок","критичен"))))</f>
        <v/>
      </c>
      <c r="K196" s="19" t="str">
        <f aca="false">IF(I196="","",IF(I196&lt;=Скали!$B$1,"да","не"))</f>
        <v/>
      </c>
      <c r="L196" s="16"/>
      <c r="M196" s="16"/>
      <c r="N196" s="16"/>
      <c r="O196" s="16"/>
      <c r="P196" s="16"/>
      <c r="Q196" s="16"/>
      <c r="R196" s="18" t="str">
        <f aca="false">IF(OR(P196="",Q196=""),"",P196*Q196)</f>
        <v/>
      </c>
      <c r="S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8" t="str">
        <f aca="false">IF(OR(G197="",H197=""),"",G197*H197)</f>
        <v/>
      </c>
      <c r="J197" s="19" t="str">
        <f aca="false">IF(I197="","",IF(I197&lt;=4,"нисък",IF(I197&lt;=9,"умерен",IF(I197&lt;=15,"висок","критичен"))))</f>
        <v/>
      </c>
      <c r="K197" s="19" t="str">
        <f aca="false">IF(I197="","",IF(I197&lt;=Скали!$B$1,"да","не"))</f>
        <v/>
      </c>
      <c r="L197" s="16"/>
      <c r="M197" s="16"/>
      <c r="N197" s="16"/>
      <c r="O197" s="16"/>
      <c r="P197" s="16"/>
      <c r="Q197" s="16"/>
      <c r="R197" s="18" t="str">
        <f aca="false">IF(OR(P197="",Q197=""),"",P197*Q197)</f>
        <v/>
      </c>
      <c r="S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8" t="str">
        <f aca="false">IF(OR(G198="",H198=""),"",G198*H198)</f>
        <v/>
      </c>
      <c r="J198" s="19" t="str">
        <f aca="false">IF(I198="","",IF(I198&lt;=4,"нисък",IF(I198&lt;=9,"умерен",IF(I198&lt;=15,"висок","критичен"))))</f>
        <v/>
      </c>
      <c r="K198" s="19" t="str">
        <f aca="false">IF(I198="","",IF(I198&lt;=Скали!$B$1,"да","не"))</f>
        <v/>
      </c>
      <c r="L198" s="16"/>
      <c r="M198" s="16"/>
      <c r="N198" s="16"/>
      <c r="O198" s="16"/>
      <c r="P198" s="16"/>
      <c r="Q198" s="16"/>
      <c r="R198" s="18" t="str">
        <f aca="false">IF(OR(P198="",Q198=""),"",P198*Q198)</f>
        <v/>
      </c>
      <c r="S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8" t="str">
        <f aca="false">IF(OR(G199="",H199=""),"",G199*H199)</f>
        <v/>
      </c>
      <c r="J199" s="19" t="str">
        <f aca="false">IF(I199="","",IF(I199&lt;=4,"нисък",IF(I199&lt;=9,"умерен",IF(I199&lt;=15,"висок","критичен"))))</f>
        <v/>
      </c>
      <c r="K199" s="19" t="str">
        <f aca="false">IF(I199="","",IF(I199&lt;=Скали!$B$1,"да","не"))</f>
        <v/>
      </c>
      <c r="L199" s="16"/>
      <c r="M199" s="16"/>
      <c r="N199" s="16"/>
      <c r="O199" s="16"/>
      <c r="P199" s="16"/>
      <c r="Q199" s="16"/>
      <c r="R199" s="18" t="str">
        <f aca="false">IF(OR(P199="",Q199=""),"",P199*Q199)</f>
        <v/>
      </c>
      <c r="S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8" t="str">
        <f aca="false">IF(OR(G200="",H200=""),"",G200*H200)</f>
        <v/>
      </c>
      <c r="J200" s="19" t="str">
        <f aca="false">IF(I200="","",IF(I200&lt;=4,"нисък",IF(I200&lt;=9,"умерен",IF(I200&lt;=15,"висок","критичен"))))</f>
        <v/>
      </c>
      <c r="K200" s="19" t="str">
        <f aca="false">IF(I200="","",IF(I200&lt;=Скали!$B$1,"да","не"))</f>
        <v/>
      </c>
      <c r="L200" s="16"/>
      <c r="M200" s="16"/>
      <c r="N200" s="16"/>
      <c r="O200" s="16"/>
      <c r="P200" s="16"/>
      <c r="Q200" s="16"/>
      <c r="R200" s="18" t="str">
        <f aca="false">IF(OR(P200="",Q200=""),"",P200*Q200)</f>
        <v/>
      </c>
      <c r="S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8" t="str">
        <f aca="false">IF(OR(G201="",H201=""),"",G201*H201)</f>
        <v/>
      </c>
      <c r="J201" s="19" t="str">
        <f aca="false">IF(I201="","",IF(I201&lt;=4,"нисък",IF(I201&lt;=9,"умерен",IF(I201&lt;=15,"висок","критичен"))))</f>
        <v/>
      </c>
      <c r="K201" s="19" t="str">
        <f aca="false">IF(I201="","",IF(I201&lt;=Скали!$B$1,"да","не"))</f>
        <v/>
      </c>
      <c r="L201" s="16"/>
      <c r="M201" s="16"/>
      <c r="N201" s="16"/>
      <c r="O201" s="16"/>
      <c r="P201" s="16"/>
      <c r="Q201" s="16"/>
      <c r="R201" s="18" t="str">
        <f aca="false">IF(OR(P201="",Q201=""),"",P201*Q201)</f>
        <v/>
      </c>
      <c r="S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8" t="str">
        <f aca="false">IF(OR(G202="",H202=""),"",G202*H202)</f>
        <v/>
      </c>
      <c r="J202" s="19" t="str">
        <f aca="false">IF(I202="","",IF(I202&lt;=4,"нисък",IF(I202&lt;=9,"умерен",IF(I202&lt;=15,"висок","критичен"))))</f>
        <v/>
      </c>
      <c r="K202" s="19" t="str">
        <f aca="false">IF(I202="","",IF(I202&lt;=Скали!$B$1,"да","не"))</f>
        <v/>
      </c>
      <c r="L202" s="16"/>
      <c r="M202" s="16"/>
      <c r="N202" s="16"/>
      <c r="O202" s="16"/>
      <c r="P202" s="16"/>
      <c r="Q202" s="16"/>
      <c r="R202" s="18" t="str">
        <f aca="false">IF(OR(P202="",Q202=""),"",P202*Q202)</f>
        <v/>
      </c>
      <c r="S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8" t="str">
        <f aca="false">IF(OR(G203="",H203=""),"",G203*H203)</f>
        <v/>
      </c>
      <c r="J203" s="19" t="str">
        <f aca="false">IF(I203="","",IF(I203&lt;=4,"нисък",IF(I203&lt;=9,"умерен",IF(I203&lt;=15,"висок","критичен"))))</f>
        <v/>
      </c>
      <c r="K203" s="19" t="str">
        <f aca="false">IF(I203="","",IF(I203&lt;=Скали!$B$1,"да","не"))</f>
        <v/>
      </c>
      <c r="L203" s="16"/>
      <c r="M203" s="16"/>
      <c r="N203" s="16"/>
      <c r="O203" s="16"/>
      <c r="P203" s="16"/>
      <c r="Q203" s="16"/>
      <c r="R203" s="18" t="str">
        <f aca="false">IF(OR(P203="",Q203=""),"",P203*Q203)</f>
        <v/>
      </c>
      <c r="S203" s="16"/>
    </row>
    <row r="204" customFormat="false" ht="15" hidden="false" customHeight="false" outlineLevel="0" collapsed="false">
      <c r="I204" s="0" t="str">
        <f aca="false">IF(OR(G204="",H204=""),"",G204*H204)</f>
        <v/>
      </c>
      <c r="J204" s="0" t="str">
        <f aca="false">IF(I204="","",IF(I204&lt;=4,"нисък",IF(I204&lt;=9,"умерен",IF(I204&lt;=15,"висок","критичен"))))</f>
        <v/>
      </c>
      <c r="K204" s="0" t="str">
        <f aca="false">IF(I204="","",IF(I204&lt;=Скали!$B$1,"да","не"))</f>
        <v/>
      </c>
      <c r="R204" s="0" t="str">
        <f aca="false">IF(OR(P204="",Q204=""),"",P204*Q204)</f>
        <v/>
      </c>
    </row>
    <row r="205" customFormat="false" ht="15" hidden="false" customHeight="false" outlineLevel="0" collapsed="false">
      <c r="I205" s="0" t="str">
        <f aca="false">IF(OR(G205="",H205=""),"",G205*H205)</f>
        <v/>
      </c>
      <c r="J205" s="0" t="str">
        <f aca="false">IF(I205="","",IF(I205&lt;=4,"нисък",IF(I205&lt;=9,"умерен",IF(I205&lt;=15,"висок","критичен"))))</f>
        <v/>
      </c>
      <c r="K205" s="0" t="str">
        <f aca="false">IF(I205="","",IF(I205&lt;=Скали!$B$1,"да","не"))</f>
        <v/>
      </c>
      <c r="R205" s="0" t="str">
        <f aca="false">IF(OR(P205="",Q205=""),"",P205*Q205)</f>
        <v/>
      </c>
    </row>
    <row r="206" customFormat="false" ht="15" hidden="false" customHeight="false" outlineLevel="0" collapsed="false">
      <c r="I206" s="0" t="str">
        <f aca="false">IF(OR(G206="",H206=""),"",G206*H206)</f>
        <v/>
      </c>
      <c r="J206" s="0" t="str">
        <f aca="false">IF(I206="","",IF(I206&lt;=4,"нисък",IF(I206&lt;=9,"умерен",IF(I206&lt;=15,"висок","критичен"))))</f>
        <v/>
      </c>
      <c r="K206" s="0" t="str">
        <f aca="false">IF(I206="","",IF(I206&lt;=Скали!$B$1,"да","не"))</f>
        <v/>
      </c>
      <c r="R206" s="0" t="str">
        <f aca="false">IF(OR(P206="",Q206=""),"",P206*Q206)</f>
        <v/>
      </c>
    </row>
    <row r="207" customFormat="false" ht="15" hidden="false" customHeight="false" outlineLevel="0" collapsed="false">
      <c r="I207" s="0" t="str">
        <f aca="false">IF(OR(G207="",H207=""),"",G207*H207)</f>
        <v/>
      </c>
      <c r="J207" s="0" t="str">
        <f aca="false">IF(I207="","",IF(I207&lt;=4,"нисък",IF(I207&lt;=9,"умерен",IF(I207&lt;=15,"висок","критичен"))))</f>
        <v/>
      </c>
      <c r="K207" s="0" t="str">
        <f aca="false">IF(I207="","",IF(I207&lt;=Скали!$B$1,"да","не"))</f>
        <v/>
      </c>
      <c r="R207" s="0" t="str">
        <f aca="false">IF(OR(P207="",Q207=""),"",P207*Q207)</f>
        <v/>
      </c>
    </row>
    <row r="208" customFormat="false" ht="15" hidden="false" customHeight="false" outlineLevel="0" collapsed="false">
      <c r="I208" s="0" t="str">
        <f aca="false">IF(OR(G208="",H208=""),"",G208*H208)</f>
        <v/>
      </c>
      <c r="J208" s="0" t="str">
        <f aca="false">IF(I208="","",IF(I208&lt;=4,"нисък",IF(I208&lt;=9,"умерен",IF(I208&lt;=15,"висок","критичен"))))</f>
        <v/>
      </c>
      <c r="K208" s="0" t="str">
        <f aca="false">IF(I208="","",IF(I208&lt;=Скали!$B$1,"да","не"))</f>
        <v/>
      </c>
      <c r="R208" s="0" t="str">
        <f aca="false">IF(OR(P208="",Q208=""),"",P208*Q208)</f>
        <v/>
      </c>
    </row>
    <row r="209" customFormat="false" ht="15" hidden="false" customHeight="false" outlineLevel="0" collapsed="false">
      <c r="I209" s="0" t="str">
        <f aca="false">IF(OR(G209="",H209=""),"",G209*H209)</f>
        <v/>
      </c>
      <c r="J209" s="0" t="str">
        <f aca="false">IF(I209="","",IF(I209&lt;=4,"нисък",IF(I209&lt;=9,"умерен",IF(I209&lt;=15,"висок","критичен"))))</f>
        <v/>
      </c>
      <c r="K209" s="0" t="str">
        <f aca="false">IF(I209="","",IF(I209&lt;=Скали!$B$1,"да","не"))</f>
        <v/>
      </c>
      <c r="R209" s="0" t="str">
        <f aca="false">IF(OR(P209="",Q209=""),"",P209*Q209)</f>
        <v/>
      </c>
    </row>
    <row r="210" customFormat="false" ht="15" hidden="false" customHeight="false" outlineLevel="0" collapsed="false">
      <c r="I210" s="0" t="str">
        <f aca="false">IF(OR(G210="",H210=""),"",G210*H210)</f>
        <v/>
      </c>
      <c r="J210" s="0" t="str">
        <f aca="false">IF(I210="","",IF(I210&lt;=4,"нисък",IF(I210&lt;=9,"умерен",IF(I210&lt;=15,"висок","критичен"))))</f>
        <v/>
      </c>
      <c r="K210" s="0" t="str">
        <f aca="false">IF(I210="","",IF(I210&lt;=Скали!$B$1,"да","не"))</f>
        <v/>
      </c>
      <c r="R210" s="0" t="str">
        <f aca="false">IF(OR(P210="",Q210=""),"",P210*Q210)</f>
        <v/>
      </c>
    </row>
  </sheetData>
  <conditionalFormatting sqref="I2:I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R2:R210">
    <cfRule type="cellIs" priority="6" operator="between" aboveAverage="0" equalAverage="0" bottom="0" percent="0" rank="0" text="" dxfId="0">
      <formula>1</formula>
      <formula>4</formula>
    </cfRule>
    <cfRule type="cellIs" priority="7" operator="between" aboveAverage="0" equalAverage="0" bottom="0" percent="0" rank="0" text="" dxfId="1">
      <formula>5</formula>
      <formula>9</formula>
    </cfRule>
    <cfRule type="cellIs" priority="8" operator="between" aboveAverage="0" equalAverage="0" bottom="0" percent="0" rank="0" text="" dxfId="2">
      <formula>10</formula>
      <formula>15</formula>
    </cfRule>
    <cfRule type="cellIs" priority="9" operator="between" aboveAverage="0" equalAverage="0" bottom="0" percent="0" rank="0" text="" dxfId="3">
      <formula>16</formula>
      <formula>25</formula>
    </cfRule>
  </conditionalFormatting>
  <dataValidations count="2">
    <dataValidation allowBlank="true" errorStyle="stop" operator="between" showDropDown="false" showErrorMessage="false" showInputMessage="false" sqref="G2:H210 P2:Q210" type="list">
      <formula1>"1,2,3,4,5"</formula1>
      <formula2>0</formula2>
    </dataValidation>
    <dataValidation allowBlank="true" errorStyle="stop" operator="between" showDropDown="false" showErrorMessage="false" showInputMessage="false" sqref="L2:L210" type="list">
      <formula1>"намаляване,прехвърляне,избягване,приемане"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3" min="12" style="0" width="8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5" t="s">
        <v>182</v>
      </c>
      <c r="B1" s="15" t="s">
        <v>293</v>
      </c>
      <c r="C1" s="15" t="s">
        <v>294</v>
      </c>
      <c r="D1" s="15" t="s">
        <v>295</v>
      </c>
      <c r="E1" s="15" t="s">
        <v>296</v>
      </c>
      <c r="F1" s="15" t="s">
        <v>297</v>
      </c>
      <c r="G1" s="15" t="s">
        <v>298</v>
      </c>
      <c r="H1" s="15" t="s">
        <v>192</v>
      </c>
      <c r="I1" s="15" t="s">
        <v>193</v>
      </c>
      <c r="J1" s="15" t="s">
        <v>299</v>
      </c>
      <c r="K1" s="15" t="s">
        <v>300</v>
      </c>
      <c r="L1" s="15" t="s">
        <v>301</v>
      </c>
      <c r="M1" s="15" t="s">
        <v>302</v>
      </c>
      <c r="N1" s="15" t="s">
        <v>197</v>
      </c>
      <c r="O1" s="15" t="s">
        <v>303</v>
      </c>
    </row>
    <row r="2" customFormat="false" ht="38.25" hidden="false" customHeight="true" outlineLevel="0" collapsed="false">
      <c r="A2" s="16" t="s">
        <v>199</v>
      </c>
      <c r="B2" s="16" t="s">
        <v>95</v>
      </c>
      <c r="C2" s="16" t="s">
        <v>304</v>
      </c>
      <c r="D2" s="18" t="n">
        <f aca="false">IFERROR(INDEX('Регистър на риска'!$I:$I,MATCH(A2,'Регистър на риска'!$A:$A,0)),"")</f>
        <v>20</v>
      </c>
      <c r="E2" s="16" t="s">
        <v>205</v>
      </c>
      <c r="F2" s="16" t="s">
        <v>305</v>
      </c>
      <c r="G2" s="16" t="s">
        <v>306</v>
      </c>
      <c r="H2" s="16" t="s">
        <v>98</v>
      </c>
      <c r="I2" s="16" t="s">
        <v>206</v>
      </c>
      <c r="J2" s="16" t="s">
        <v>207</v>
      </c>
      <c r="K2" s="16" t="s">
        <v>307</v>
      </c>
      <c r="L2" s="16" t="n">
        <v>2</v>
      </c>
      <c r="M2" s="16" t="n">
        <v>4</v>
      </c>
      <c r="N2" s="18" t="n">
        <f aca="false">IF(OR(L2="",M2=""),"",L2*M2)</f>
        <v>8</v>
      </c>
      <c r="O2" s="17" t="s">
        <v>208</v>
      </c>
    </row>
    <row r="3" customFormat="false" ht="25.5" hidden="false" customHeight="true" outlineLevel="0" collapsed="false">
      <c r="A3" s="16" t="s">
        <v>209</v>
      </c>
      <c r="B3" s="16" t="s">
        <v>110</v>
      </c>
      <c r="C3" s="16" t="s">
        <v>308</v>
      </c>
      <c r="D3" s="18" t="n">
        <f aca="false">IFERROR(INDEX('Регистър на риска'!$I:$I,MATCH(A3,'Регистър на риска'!$A:$A,0)),"")</f>
        <v>15</v>
      </c>
      <c r="E3" s="16" t="s">
        <v>205</v>
      </c>
      <c r="F3" s="16" t="s">
        <v>309</v>
      </c>
      <c r="G3" s="16" t="s">
        <v>310</v>
      </c>
      <c r="H3" s="16" t="s">
        <v>113</v>
      </c>
      <c r="I3" s="16" t="s">
        <v>206</v>
      </c>
      <c r="J3" s="16" t="s">
        <v>164</v>
      </c>
      <c r="K3" s="16" t="s">
        <v>307</v>
      </c>
      <c r="L3" s="16" t="n">
        <v>1</v>
      </c>
      <c r="M3" s="16" t="n">
        <v>5</v>
      </c>
      <c r="N3" s="18" t="n">
        <f aca="false">IF(OR(L3="",M3=""),"",L3*M3)</f>
        <v>5</v>
      </c>
      <c r="O3" s="17" t="s">
        <v>215</v>
      </c>
    </row>
    <row r="4" customFormat="false" ht="35.05" hidden="false" customHeight="false" outlineLevel="0" collapsed="false">
      <c r="A4" s="16" t="s">
        <v>216</v>
      </c>
      <c r="B4" s="16" t="s">
        <v>118</v>
      </c>
      <c r="C4" s="16" t="s">
        <v>311</v>
      </c>
      <c r="D4" s="18" t="n">
        <f aca="false">IFERROR(INDEX('Регистър на риска'!$I:$I,MATCH(A4,'Регистър на риска'!$A:$A,0)),"")</f>
        <v>12</v>
      </c>
      <c r="E4" s="16" t="s">
        <v>205</v>
      </c>
      <c r="F4" s="16" t="s">
        <v>312</v>
      </c>
      <c r="G4" s="16" t="s">
        <v>313</v>
      </c>
      <c r="H4" s="16" t="s">
        <v>121</v>
      </c>
      <c r="I4" s="16" t="s">
        <v>222</v>
      </c>
      <c r="J4" s="16" t="s">
        <v>164</v>
      </c>
      <c r="K4" s="16" t="s">
        <v>307</v>
      </c>
      <c r="L4" s="16" t="n">
        <v>2</v>
      </c>
      <c r="M4" s="16" t="n">
        <v>3</v>
      </c>
      <c r="N4" s="18" t="n">
        <f aca="false">IF(OR(L4="",M4=""),"",L4*M4)</f>
        <v>6</v>
      </c>
      <c r="O4" s="16" t="s">
        <v>164</v>
      </c>
    </row>
    <row r="5" customFormat="false" ht="23.85" hidden="false" customHeight="false" outlineLevel="0" collapsed="false">
      <c r="A5" s="16" t="s">
        <v>223</v>
      </c>
      <c r="B5" s="16" t="s">
        <v>147</v>
      </c>
      <c r="C5" s="16" t="s">
        <v>314</v>
      </c>
      <c r="D5" s="18" t="n">
        <f aca="false">IFERROR(INDEX('Регистър на риска'!$I:$I,MATCH(A5,'Регистър на риска'!$A:$A,0)),"")</f>
        <v>10</v>
      </c>
      <c r="E5" s="16" t="s">
        <v>205</v>
      </c>
      <c r="F5" s="16" t="s">
        <v>315</v>
      </c>
      <c r="G5" s="16" t="s">
        <v>316</v>
      </c>
      <c r="H5" s="16" t="s">
        <v>113</v>
      </c>
      <c r="I5" s="16" t="s">
        <v>206</v>
      </c>
      <c r="J5" s="16" t="s">
        <v>164</v>
      </c>
      <c r="K5" s="16" t="s">
        <v>307</v>
      </c>
      <c r="L5" s="16" t="n">
        <v>1</v>
      </c>
      <c r="M5" s="16" t="n">
        <v>5</v>
      </c>
      <c r="N5" s="18" t="n">
        <f aca="false">IF(OR(L5="",M5=""),"",L5*M5)</f>
        <v>5</v>
      </c>
      <c r="O5" s="16" t="s">
        <v>164</v>
      </c>
    </row>
    <row r="6" customFormat="false" ht="23.85" hidden="false" customHeight="false" outlineLevel="0" collapsed="false">
      <c r="A6" s="16" t="s">
        <v>229</v>
      </c>
      <c r="B6" s="16" t="s">
        <v>151</v>
      </c>
      <c r="C6" s="16" t="s">
        <v>317</v>
      </c>
      <c r="D6" s="18" t="n">
        <f aca="false">IFERROR(INDEX('Регистър на риска'!$I:$I,MATCH(A6,'Регистър на риска'!$A:$A,0)),"")</f>
        <v>16</v>
      </c>
      <c r="E6" s="16" t="s">
        <v>205</v>
      </c>
      <c r="F6" s="16" t="s">
        <v>318</v>
      </c>
      <c r="G6" s="16" t="s">
        <v>319</v>
      </c>
      <c r="H6" s="16" t="s">
        <v>98</v>
      </c>
      <c r="I6" s="16" t="s">
        <v>206</v>
      </c>
      <c r="J6" s="16" t="s">
        <v>207</v>
      </c>
      <c r="K6" s="16" t="s">
        <v>307</v>
      </c>
      <c r="L6" s="16" t="n">
        <v>2</v>
      </c>
      <c r="M6" s="16" t="n">
        <v>3</v>
      </c>
      <c r="N6" s="18" t="n">
        <f aca="false">IF(OR(L6="",M6=""),"",L6*M6)</f>
        <v>6</v>
      </c>
      <c r="O6" s="16" t="s">
        <v>215</v>
      </c>
    </row>
    <row r="7" customFormat="false" ht="23.85" hidden="false" customHeight="false" outlineLevel="0" collapsed="false">
      <c r="A7" s="16" t="s">
        <v>235</v>
      </c>
      <c r="B7" s="16" t="s">
        <v>130</v>
      </c>
      <c r="C7" s="16" t="s">
        <v>320</v>
      </c>
      <c r="D7" s="18" t="n">
        <f aca="false">IFERROR(INDEX('Регистър на риска'!$I:$I,MATCH(A7,'Регистър на риска'!$A:$A,0)),"")</f>
        <v>15</v>
      </c>
      <c r="E7" s="16" t="s">
        <v>205</v>
      </c>
      <c r="F7" s="16" t="s">
        <v>321</v>
      </c>
      <c r="G7" s="16" t="s">
        <v>322</v>
      </c>
      <c r="H7" s="16" t="s">
        <v>127</v>
      </c>
      <c r="I7" s="16" t="s">
        <v>206</v>
      </c>
      <c r="J7" s="16" t="s">
        <v>241</v>
      </c>
      <c r="K7" s="16" t="s">
        <v>307</v>
      </c>
      <c r="L7" s="16" t="n">
        <v>2</v>
      </c>
      <c r="M7" s="16" t="n">
        <v>4</v>
      </c>
      <c r="N7" s="18" t="n">
        <f aca="false">IF(OR(L7="",M7=""),"",L7*M7)</f>
        <v>8</v>
      </c>
      <c r="O7" s="16" t="s">
        <v>242</v>
      </c>
    </row>
    <row r="8" customFormat="false" ht="23.85" hidden="false" customHeight="false" outlineLevel="0" collapsed="false">
      <c r="A8" s="16" t="s">
        <v>243</v>
      </c>
      <c r="B8" s="16" t="s">
        <v>125</v>
      </c>
      <c r="C8" s="16" t="s">
        <v>323</v>
      </c>
      <c r="D8" s="18" t="n">
        <f aca="false">IFERROR(INDEX('Регистър на риска'!$I:$I,MATCH(A8,'Регистър на риска'!$A:$A,0)),"")</f>
        <v>12</v>
      </c>
      <c r="E8" s="16" t="s">
        <v>249</v>
      </c>
      <c r="F8" s="16" t="s">
        <v>324</v>
      </c>
      <c r="G8" s="16" t="s">
        <v>325</v>
      </c>
      <c r="H8" s="16" t="s">
        <v>98</v>
      </c>
      <c r="I8" s="16" t="s">
        <v>222</v>
      </c>
      <c r="J8" s="16" t="s">
        <v>207</v>
      </c>
      <c r="K8" s="16" t="s">
        <v>307</v>
      </c>
      <c r="L8" s="16" t="n">
        <v>2</v>
      </c>
      <c r="M8" s="16" t="n">
        <v>3</v>
      </c>
      <c r="N8" s="18" t="n">
        <f aca="false">IF(OR(L8="",M8=""),"",L8*M8)</f>
        <v>6</v>
      </c>
      <c r="O8" s="16" t="s">
        <v>164</v>
      </c>
    </row>
    <row r="9" customFormat="false" ht="23.85" hidden="false" customHeight="false" outlineLevel="0" collapsed="false">
      <c r="A9" s="16" t="s">
        <v>250</v>
      </c>
      <c r="B9" s="16" t="s">
        <v>156</v>
      </c>
      <c r="C9" s="16" t="s">
        <v>326</v>
      </c>
      <c r="D9" s="18" t="n">
        <f aca="false">IFERROR(INDEX('Регистър на риска'!$I:$I,MATCH(A9,'Регистър на риска'!$A:$A,0)),"")</f>
        <v>12</v>
      </c>
      <c r="E9" s="16" t="s">
        <v>205</v>
      </c>
      <c r="F9" s="16" t="s">
        <v>327</v>
      </c>
      <c r="G9" s="16" t="s">
        <v>328</v>
      </c>
      <c r="H9" s="16" t="s">
        <v>113</v>
      </c>
      <c r="I9" s="16" t="s">
        <v>222</v>
      </c>
      <c r="J9" s="16" t="s">
        <v>164</v>
      </c>
      <c r="K9" s="16" t="s">
        <v>307</v>
      </c>
      <c r="L9" s="16" t="n">
        <v>2</v>
      </c>
      <c r="M9" s="16" t="n">
        <v>2</v>
      </c>
      <c r="N9" s="18" t="n">
        <f aca="false">IF(OR(L9="",M9=""),"",L9*M9)</f>
        <v>4</v>
      </c>
      <c r="O9" s="16" t="s">
        <v>256</v>
      </c>
    </row>
    <row r="10" customFormat="false" ht="35.05" hidden="false" customHeight="false" outlineLevel="0" collapsed="false">
      <c r="A10" s="16" t="s">
        <v>257</v>
      </c>
      <c r="B10" s="16" t="s">
        <v>177</v>
      </c>
      <c r="C10" s="16" t="s">
        <v>329</v>
      </c>
      <c r="D10" s="18" t="n">
        <f aca="false">IFERROR(INDEX('Регистър на риска'!$I:$I,MATCH(A10,'Регистър на риска'!$A:$A,0)),"")</f>
        <v>15</v>
      </c>
      <c r="E10" s="16" t="s">
        <v>205</v>
      </c>
      <c r="F10" s="16" t="s">
        <v>330</v>
      </c>
      <c r="G10" s="16" t="s">
        <v>331</v>
      </c>
      <c r="H10" s="16" t="s">
        <v>98</v>
      </c>
      <c r="I10" s="16" t="s">
        <v>206</v>
      </c>
      <c r="J10" s="16" t="s">
        <v>164</v>
      </c>
      <c r="K10" s="16" t="s">
        <v>307</v>
      </c>
      <c r="L10" s="16" t="n">
        <v>2</v>
      </c>
      <c r="M10" s="16" t="n">
        <v>4</v>
      </c>
      <c r="N10" s="18" t="n">
        <f aca="false">IF(OR(L10="",M10=""),"",L10*M10)</f>
        <v>8</v>
      </c>
      <c r="O10" s="16" t="s">
        <v>164</v>
      </c>
    </row>
    <row r="11" customFormat="false" ht="23.85" hidden="false" customHeight="false" outlineLevel="0" collapsed="false">
      <c r="A11" s="16" t="s">
        <v>263</v>
      </c>
      <c r="B11" s="16" t="s">
        <v>142</v>
      </c>
      <c r="C11" s="16" t="s">
        <v>332</v>
      </c>
      <c r="D11" s="18" t="n">
        <f aca="false">IFERROR(INDEX('Регистър на риска'!$I:$I,MATCH(A11,'Регистър на риска'!$A:$A,0)),"")</f>
        <v>8</v>
      </c>
      <c r="E11" s="16" t="s">
        <v>205</v>
      </c>
      <c r="F11" s="16" t="s">
        <v>333</v>
      </c>
      <c r="G11" s="16" t="s">
        <v>334</v>
      </c>
      <c r="H11" s="16" t="s">
        <v>144</v>
      </c>
      <c r="I11" s="16" t="s">
        <v>222</v>
      </c>
      <c r="J11" s="16" t="s">
        <v>164</v>
      </c>
      <c r="K11" s="16" t="s">
        <v>307</v>
      </c>
      <c r="L11" s="16" t="n">
        <v>1</v>
      </c>
      <c r="M11" s="16" t="n">
        <v>4</v>
      </c>
      <c r="N11" s="18" t="n">
        <f aca="false">IF(OR(L11="",M11=""),"",L11*M11)</f>
        <v>4</v>
      </c>
      <c r="O11" s="16" t="s">
        <v>164</v>
      </c>
    </row>
    <row r="12" customFormat="false" ht="23.85" hidden="false" customHeight="false" outlineLevel="0" collapsed="false">
      <c r="A12" s="16" t="s">
        <v>269</v>
      </c>
      <c r="B12" s="16" t="s">
        <v>166</v>
      </c>
      <c r="C12" s="16" t="s">
        <v>335</v>
      </c>
      <c r="D12" s="18" t="n">
        <f aca="false">IFERROR(INDEX('Регистър на риска'!$I:$I,MATCH(A12,'Регистър на риска'!$A:$A,0)),"")</f>
        <v>6</v>
      </c>
      <c r="E12" s="16" t="s">
        <v>205</v>
      </c>
      <c r="F12" s="16" t="s">
        <v>336</v>
      </c>
      <c r="G12" s="16" t="s">
        <v>337</v>
      </c>
      <c r="H12" s="16" t="s">
        <v>169</v>
      </c>
      <c r="I12" s="16" t="s">
        <v>222</v>
      </c>
      <c r="J12" s="16" t="s">
        <v>164</v>
      </c>
      <c r="K12" s="16" t="s">
        <v>307</v>
      </c>
      <c r="L12" s="16" t="n">
        <v>1</v>
      </c>
      <c r="M12" s="16" t="n">
        <v>3</v>
      </c>
      <c r="N12" s="18" t="n">
        <f aca="false">IF(OR(L12="",M12=""),"",L12*M12)</f>
        <v>3</v>
      </c>
      <c r="O12" s="16" t="s">
        <v>164</v>
      </c>
    </row>
    <row r="13" customFormat="false" ht="23.85" hidden="false" customHeight="false" outlineLevel="0" collapsed="false">
      <c r="A13" s="16" t="s">
        <v>275</v>
      </c>
      <c r="B13" s="16" t="s">
        <v>160</v>
      </c>
      <c r="C13" s="16" t="s">
        <v>338</v>
      </c>
      <c r="D13" s="18" t="n">
        <f aca="false">IFERROR(INDEX('Регистър на риска'!$I:$I,MATCH(A13,'Регистър на риска'!$A:$A,0)),"")</f>
        <v>8</v>
      </c>
      <c r="E13" s="16" t="s">
        <v>205</v>
      </c>
      <c r="F13" s="16" t="s">
        <v>339</v>
      </c>
      <c r="G13" s="16" t="s">
        <v>340</v>
      </c>
      <c r="H13" s="16" t="s">
        <v>127</v>
      </c>
      <c r="I13" s="16" t="s">
        <v>222</v>
      </c>
      <c r="J13" s="16" t="s">
        <v>164</v>
      </c>
      <c r="K13" s="16" t="s">
        <v>307</v>
      </c>
      <c r="L13" s="16" t="n">
        <v>1</v>
      </c>
      <c r="M13" s="16" t="n">
        <v>4</v>
      </c>
      <c r="N13" s="18" t="n">
        <f aca="false">IF(OR(L13="",M13=""),"",L13*M13)</f>
        <v>4</v>
      </c>
      <c r="O13" s="16" t="s">
        <v>256</v>
      </c>
    </row>
    <row r="14" customFormat="false" ht="35.05" hidden="false" customHeight="false" outlineLevel="0" collapsed="false">
      <c r="A14" s="16" t="s">
        <v>280</v>
      </c>
      <c r="B14" s="16" t="s">
        <v>116</v>
      </c>
      <c r="C14" s="16" t="s">
        <v>341</v>
      </c>
      <c r="D14" s="18" t="n">
        <f aca="false">IFERROR(INDEX('Регистър на риска'!$I:$I,MATCH(A14,'Регистър на риска'!$A:$A,0)),"")</f>
        <v>8</v>
      </c>
      <c r="E14" s="16" t="s">
        <v>205</v>
      </c>
      <c r="F14" s="16" t="s">
        <v>342</v>
      </c>
      <c r="G14" s="16" t="s">
        <v>343</v>
      </c>
      <c r="H14" s="16" t="s">
        <v>169</v>
      </c>
      <c r="I14" s="16" t="s">
        <v>222</v>
      </c>
      <c r="J14" s="16" t="s">
        <v>164</v>
      </c>
      <c r="K14" s="16" t="s">
        <v>307</v>
      </c>
      <c r="L14" s="16" t="n">
        <v>1</v>
      </c>
      <c r="M14" s="16" t="n">
        <v>4</v>
      </c>
      <c r="N14" s="18" t="n">
        <f aca="false">IF(OR(L14="",M14=""),"",L14*M14)</f>
        <v>4</v>
      </c>
      <c r="O14" s="16" t="s">
        <v>164</v>
      </c>
    </row>
    <row r="15" customFormat="false" ht="23.85" hidden="false" customHeight="false" outlineLevel="0" collapsed="false">
      <c r="A15" s="16" t="s">
        <v>286</v>
      </c>
      <c r="B15" s="16" t="s">
        <v>136</v>
      </c>
      <c r="C15" s="16" t="s">
        <v>290</v>
      </c>
      <c r="D15" s="18" t="n">
        <f aca="false">IFERROR(INDEX('Регистър на риска'!$I:$I,MATCH(A15,'Регистър на риска'!$A:$A,0)),"")</f>
        <v>6</v>
      </c>
      <c r="E15" s="16" t="s">
        <v>292</v>
      </c>
      <c r="F15" s="16" t="s">
        <v>344</v>
      </c>
      <c r="G15" s="16" t="s">
        <v>345</v>
      </c>
      <c r="H15" s="16" t="s">
        <v>138</v>
      </c>
      <c r="I15" s="16" t="s">
        <v>164</v>
      </c>
      <c r="J15" s="16" t="s">
        <v>164</v>
      </c>
      <c r="K15" s="16" t="s">
        <v>346</v>
      </c>
      <c r="L15" s="16" t="n">
        <v>2</v>
      </c>
      <c r="M15" s="16" t="n">
        <v>3</v>
      </c>
      <c r="N15" s="18" t="n">
        <f aca="false">IF(OR(L15="",M15=""),"",L15*M15)</f>
        <v>6</v>
      </c>
      <c r="O15" s="16" t="s">
        <v>164</v>
      </c>
    </row>
    <row r="16" customFormat="false" ht="15" hidden="false" customHeight="false" outlineLevel="0" collapsed="false">
      <c r="A16" s="16"/>
      <c r="B16" s="16"/>
      <c r="C16" s="16"/>
      <c r="D16" s="18" t="str">
        <f aca="false">IFERROR(INDEX('Регистър на риска'!$I:$I,MATCH(A16,'Регистър на риска'!$A:$A,0)),"")</f>
        <v/>
      </c>
      <c r="E16" s="16"/>
      <c r="F16" s="16"/>
      <c r="G16" s="16"/>
      <c r="H16" s="16"/>
      <c r="I16" s="16"/>
      <c r="J16" s="16"/>
      <c r="K16" s="16"/>
      <c r="L16" s="16"/>
      <c r="M16" s="16"/>
      <c r="N16" s="18" t="str">
        <f aca="false">IF(OR(L16="",M16=""),"",L16*M16)</f>
        <v/>
      </c>
      <c r="O16" s="16"/>
    </row>
    <row r="17" customFormat="false" ht="15" hidden="false" customHeight="false" outlineLevel="0" collapsed="false">
      <c r="A17" s="16"/>
      <c r="B17" s="16"/>
      <c r="C17" s="16"/>
      <c r="D17" s="18" t="str">
        <f aca="false">IFERROR(INDEX('Регистър на риска'!$I:$I,MATCH(A17,'Регистър на риска'!$A:$A,0)),"")</f>
        <v/>
      </c>
      <c r="E17" s="16"/>
      <c r="F17" s="16"/>
      <c r="G17" s="16"/>
      <c r="H17" s="16"/>
      <c r="I17" s="16"/>
      <c r="J17" s="16"/>
      <c r="K17" s="16"/>
      <c r="L17" s="16"/>
      <c r="M17" s="16"/>
      <c r="N17" s="18" t="str">
        <f aca="false">IF(OR(L17="",M17=""),"",L17*M17)</f>
        <v/>
      </c>
      <c r="O17" s="16"/>
    </row>
    <row r="18" customFormat="false" ht="15" hidden="false" customHeight="false" outlineLevel="0" collapsed="false">
      <c r="A18" s="16"/>
      <c r="B18" s="16"/>
      <c r="C18" s="16"/>
      <c r="D18" s="18" t="str">
        <f aca="false"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8" t="str">
        <f aca="false">IF(OR(L18="",M18=""),"",L18*M18)</f>
        <v/>
      </c>
      <c r="O18" s="16"/>
    </row>
    <row r="19" customFormat="false" ht="15" hidden="false" customHeight="false" outlineLevel="0" collapsed="false">
      <c r="A19" s="16"/>
      <c r="B19" s="16"/>
      <c r="C19" s="16"/>
      <c r="D19" s="18" t="str">
        <f aca="false"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8" t="str">
        <f aca="false">IF(OR(L19="",M19=""),"",L19*M19)</f>
        <v/>
      </c>
      <c r="O19" s="16"/>
    </row>
    <row r="20" customFormat="false" ht="15" hidden="false" customHeight="false" outlineLevel="0" collapsed="false">
      <c r="A20" s="16"/>
      <c r="B20" s="16"/>
      <c r="C20" s="16"/>
      <c r="D20" s="18" t="str">
        <f aca="false"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8" t="str">
        <f aca="false">IF(OR(L20="",M20=""),"",L20*M20)</f>
        <v/>
      </c>
      <c r="O20" s="16"/>
    </row>
    <row r="21" customFormat="false" ht="15" hidden="false" customHeight="false" outlineLevel="0" collapsed="false">
      <c r="A21" s="16"/>
      <c r="B21" s="16"/>
      <c r="C21" s="16"/>
      <c r="D21" s="18" t="str">
        <f aca="false"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8" t="str">
        <f aca="false">IF(OR(L21="",M21=""),"",L21*M21)</f>
        <v/>
      </c>
      <c r="O21" s="16"/>
    </row>
    <row r="22" customFormat="false" ht="15" hidden="false" customHeight="false" outlineLevel="0" collapsed="false">
      <c r="A22" s="16"/>
      <c r="B22" s="16"/>
      <c r="C22" s="16"/>
      <c r="D22" s="18" t="str">
        <f aca="false"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8" t="str">
        <f aca="false">IF(OR(L22="",M22=""),"",L22*M22)</f>
        <v/>
      </c>
      <c r="O22" s="16"/>
    </row>
    <row r="23" customFormat="false" ht="15" hidden="false" customHeight="false" outlineLevel="0" collapsed="false">
      <c r="A23" s="16"/>
      <c r="B23" s="16"/>
      <c r="C23" s="16"/>
      <c r="D23" s="18" t="str">
        <f aca="false"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8" t="str">
        <f aca="false">IF(OR(L23="",M23=""),"",L23*M23)</f>
        <v/>
      </c>
      <c r="O23" s="16"/>
    </row>
    <row r="24" customFormat="false" ht="15" hidden="false" customHeight="false" outlineLevel="0" collapsed="false">
      <c r="A24" s="16"/>
      <c r="B24" s="16"/>
      <c r="C24" s="16"/>
      <c r="D24" s="18" t="str">
        <f aca="false"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8" t="str">
        <f aca="false">IF(OR(L24="",M24=""),"",L24*M24)</f>
        <v/>
      </c>
      <c r="O24" s="16"/>
    </row>
    <row r="25" customFormat="false" ht="15" hidden="false" customHeight="false" outlineLevel="0" collapsed="false">
      <c r="A25" s="16"/>
      <c r="B25" s="16"/>
      <c r="C25" s="16"/>
      <c r="D25" s="18" t="str">
        <f aca="false"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8" t="str">
        <f aca="false">IF(OR(L25="",M25=""),"",L25*M25)</f>
        <v/>
      </c>
      <c r="O25" s="16"/>
    </row>
    <row r="26" customFormat="false" ht="15" hidden="false" customHeight="false" outlineLevel="0" collapsed="false">
      <c r="A26" s="16"/>
      <c r="B26" s="16"/>
      <c r="C26" s="16"/>
      <c r="D26" s="18" t="str">
        <f aca="false"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8" t="str">
        <f aca="false">IF(OR(L26="",M26=""),"",L26*M26)</f>
        <v/>
      </c>
      <c r="O26" s="16"/>
    </row>
    <row r="27" customFormat="false" ht="15" hidden="false" customHeight="false" outlineLevel="0" collapsed="false">
      <c r="A27" s="16"/>
      <c r="B27" s="16"/>
      <c r="C27" s="16"/>
      <c r="D27" s="18" t="str">
        <f aca="false"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8" t="str">
        <f aca="false">IF(OR(L27="",M27=""),"",L27*M27)</f>
        <v/>
      </c>
      <c r="O27" s="16"/>
    </row>
    <row r="28" customFormat="false" ht="15" hidden="false" customHeight="false" outlineLevel="0" collapsed="false">
      <c r="A28" s="16"/>
      <c r="B28" s="16"/>
      <c r="C28" s="16"/>
      <c r="D28" s="18" t="str">
        <f aca="false"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8" t="str">
        <f aca="false">IF(OR(L28="",M28=""),"",L28*M28)</f>
        <v/>
      </c>
      <c r="O28" s="16"/>
    </row>
    <row r="29" customFormat="false" ht="15" hidden="false" customHeight="false" outlineLevel="0" collapsed="false">
      <c r="A29" s="16"/>
      <c r="B29" s="16"/>
      <c r="C29" s="16"/>
      <c r="D29" s="18" t="str">
        <f aca="false"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8" t="str">
        <f aca="false">IF(OR(L29="",M29=""),"",L29*M29)</f>
        <v/>
      </c>
      <c r="O29" s="16"/>
    </row>
    <row r="30" customFormat="false" ht="15" hidden="false" customHeight="false" outlineLevel="0" collapsed="false">
      <c r="A30" s="16"/>
      <c r="B30" s="16"/>
      <c r="C30" s="16"/>
      <c r="D30" s="18" t="str">
        <f aca="false"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8" t="str">
        <f aca="false">IF(OR(L30="",M30=""),"",L30*M30)</f>
        <v/>
      </c>
      <c r="O30" s="16"/>
    </row>
    <row r="31" customFormat="false" ht="15" hidden="false" customHeight="false" outlineLevel="0" collapsed="false">
      <c r="A31" s="16"/>
      <c r="B31" s="16"/>
      <c r="C31" s="16"/>
      <c r="D31" s="18" t="str">
        <f aca="false"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8" t="str">
        <f aca="false">IF(OR(L31="",M31=""),"",L31*M31)</f>
        <v/>
      </c>
      <c r="O31" s="16"/>
    </row>
    <row r="32" customFormat="false" ht="15" hidden="false" customHeight="false" outlineLevel="0" collapsed="false">
      <c r="A32" s="16"/>
      <c r="B32" s="16"/>
      <c r="C32" s="16"/>
      <c r="D32" s="18" t="str">
        <f aca="false"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8" t="str">
        <f aca="false">IF(OR(L32="",M32=""),"",L32*M32)</f>
        <v/>
      </c>
      <c r="O32" s="16"/>
    </row>
    <row r="33" customFormat="false" ht="15" hidden="false" customHeight="false" outlineLevel="0" collapsed="false">
      <c r="A33" s="16"/>
      <c r="B33" s="16"/>
      <c r="C33" s="16"/>
      <c r="D33" s="18" t="str">
        <f aca="false"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8" t="str">
        <f aca="false">IF(OR(L33="",M33=""),"",L33*M33)</f>
        <v/>
      </c>
      <c r="O33" s="16"/>
    </row>
    <row r="34" customFormat="false" ht="15" hidden="false" customHeight="false" outlineLevel="0" collapsed="false">
      <c r="A34" s="16"/>
      <c r="B34" s="16"/>
      <c r="C34" s="16"/>
      <c r="D34" s="18" t="str">
        <f aca="false"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8" t="str">
        <f aca="false">IF(OR(L34="",M34=""),"",L34*M34)</f>
        <v/>
      </c>
      <c r="O34" s="16"/>
    </row>
    <row r="35" customFormat="false" ht="15" hidden="false" customHeight="false" outlineLevel="0" collapsed="false">
      <c r="A35" s="16"/>
      <c r="B35" s="16"/>
      <c r="C35" s="16"/>
      <c r="D35" s="18" t="str">
        <f aca="false"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8" t="str">
        <f aca="false">IF(OR(L35="",M35=""),"",L35*M35)</f>
        <v/>
      </c>
      <c r="O35" s="16"/>
    </row>
    <row r="36" customFormat="false" ht="15" hidden="false" customHeight="false" outlineLevel="0" collapsed="false">
      <c r="A36" s="16"/>
      <c r="B36" s="16"/>
      <c r="C36" s="16"/>
      <c r="D36" s="18" t="str">
        <f aca="false"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8" t="str">
        <f aca="false">IF(OR(L36="",M36=""),"",L36*M36)</f>
        <v/>
      </c>
      <c r="O36" s="16"/>
    </row>
    <row r="37" customFormat="false" ht="15" hidden="false" customHeight="false" outlineLevel="0" collapsed="false">
      <c r="A37" s="16"/>
      <c r="B37" s="16"/>
      <c r="C37" s="16"/>
      <c r="D37" s="18" t="str">
        <f aca="false"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8" t="str">
        <f aca="false">IF(OR(L37="",M37=""),"",L37*M37)</f>
        <v/>
      </c>
      <c r="O37" s="16"/>
    </row>
    <row r="38" customFormat="false" ht="15" hidden="false" customHeight="false" outlineLevel="0" collapsed="false">
      <c r="A38" s="16"/>
      <c r="B38" s="16"/>
      <c r="C38" s="16"/>
      <c r="D38" s="18" t="str">
        <f aca="false"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8" t="str">
        <f aca="false">IF(OR(L38="",M38=""),"",L38*M38)</f>
        <v/>
      </c>
      <c r="O38" s="16"/>
    </row>
    <row r="39" customFormat="false" ht="15" hidden="false" customHeight="false" outlineLevel="0" collapsed="false">
      <c r="A39" s="16"/>
      <c r="B39" s="16"/>
      <c r="C39" s="16"/>
      <c r="D39" s="18" t="str">
        <f aca="false"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8" t="str">
        <f aca="false">IF(OR(L39="",M39=""),"",L39*M39)</f>
        <v/>
      </c>
      <c r="O39" s="16"/>
    </row>
    <row r="40" customFormat="false" ht="15" hidden="false" customHeight="false" outlineLevel="0" collapsed="false">
      <c r="A40" s="16"/>
      <c r="B40" s="16"/>
      <c r="C40" s="16"/>
      <c r="D40" s="18" t="str">
        <f aca="false"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8" t="str">
        <f aca="false">IF(OR(L40="",M40=""),"",L40*M40)</f>
        <v/>
      </c>
      <c r="O40" s="16"/>
    </row>
    <row r="41" customFormat="false" ht="15" hidden="false" customHeight="false" outlineLevel="0" collapsed="false">
      <c r="A41" s="16"/>
      <c r="B41" s="16"/>
      <c r="C41" s="16"/>
      <c r="D41" s="18" t="str">
        <f aca="false"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8" t="str">
        <f aca="false">IF(OR(L41="",M41=""),"",L41*M41)</f>
        <v/>
      </c>
      <c r="O41" s="16"/>
    </row>
    <row r="42" customFormat="false" ht="15" hidden="false" customHeight="false" outlineLevel="0" collapsed="false">
      <c r="A42" s="16"/>
      <c r="B42" s="16"/>
      <c r="C42" s="16"/>
      <c r="D42" s="18" t="str">
        <f aca="false"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8" t="str">
        <f aca="false">IF(OR(L42="",M42=""),"",L42*M42)</f>
        <v/>
      </c>
      <c r="O42" s="16"/>
    </row>
    <row r="43" customFormat="false" ht="15" hidden="false" customHeight="false" outlineLevel="0" collapsed="false">
      <c r="A43" s="16"/>
      <c r="B43" s="16"/>
      <c r="C43" s="16"/>
      <c r="D43" s="18" t="str">
        <f aca="false"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8" t="str">
        <f aca="false">IF(OR(L43="",M43=""),"",L43*M43)</f>
        <v/>
      </c>
      <c r="O43" s="16"/>
    </row>
    <row r="44" customFormat="false" ht="15" hidden="false" customHeight="false" outlineLevel="0" collapsed="false">
      <c r="A44" s="16"/>
      <c r="B44" s="16"/>
      <c r="C44" s="16"/>
      <c r="D44" s="18" t="str">
        <f aca="false"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8" t="str">
        <f aca="false">IF(OR(L44="",M44=""),"",L44*M44)</f>
        <v/>
      </c>
      <c r="O44" s="16"/>
    </row>
    <row r="45" customFormat="false" ht="15" hidden="false" customHeight="false" outlineLevel="0" collapsed="false">
      <c r="A45" s="16"/>
      <c r="B45" s="16"/>
      <c r="C45" s="16"/>
      <c r="D45" s="18" t="str">
        <f aca="false"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8" t="str">
        <f aca="false">IF(OR(L45="",M45=""),"",L45*M45)</f>
        <v/>
      </c>
      <c r="O45" s="16"/>
    </row>
    <row r="46" customFormat="false" ht="15" hidden="false" customHeight="false" outlineLevel="0" collapsed="false">
      <c r="A46" s="16"/>
      <c r="B46" s="16"/>
      <c r="C46" s="16"/>
      <c r="D46" s="18" t="str">
        <f aca="false"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8" t="str">
        <f aca="false">IF(OR(L46="",M46=""),"",L46*M46)</f>
        <v/>
      </c>
      <c r="O46" s="16"/>
    </row>
    <row r="47" customFormat="false" ht="15" hidden="false" customHeight="false" outlineLevel="0" collapsed="false">
      <c r="A47" s="16"/>
      <c r="B47" s="16"/>
      <c r="C47" s="16"/>
      <c r="D47" s="18" t="str">
        <f aca="false"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8" t="str">
        <f aca="false">IF(OR(L47="",M47=""),"",L47*M47)</f>
        <v/>
      </c>
      <c r="O47" s="16"/>
    </row>
    <row r="48" customFormat="false" ht="15" hidden="false" customHeight="false" outlineLevel="0" collapsed="false">
      <c r="A48" s="16"/>
      <c r="B48" s="16"/>
      <c r="C48" s="16"/>
      <c r="D48" s="18" t="str">
        <f aca="false"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8" t="str">
        <f aca="false">IF(OR(L48="",M48=""),"",L48*M48)</f>
        <v/>
      </c>
      <c r="O48" s="16"/>
    </row>
    <row r="49" customFormat="false" ht="15" hidden="false" customHeight="false" outlineLevel="0" collapsed="false">
      <c r="A49" s="16"/>
      <c r="B49" s="16"/>
      <c r="C49" s="16"/>
      <c r="D49" s="18" t="str">
        <f aca="false"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8" t="str">
        <f aca="false">IF(OR(L49="",M49=""),"",L49*M49)</f>
        <v/>
      </c>
      <c r="O49" s="16"/>
    </row>
    <row r="50" customFormat="false" ht="15" hidden="false" customHeight="false" outlineLevel="0" collapsed="false">
      <c r="A50" s="16"/>
      <c r="B50" s="16"/>
      <c r="C50" s="16"/>
      <c r="D50" s="18" t="str">
        <f aca="false"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8" t="str">
        <f aca="false">IF(OR(L50="",M50=""),"",L50*M50)</f>
        <v/>
      </c>
      <c r="O50" s="16"/>
    </row>
    <row r="51" customFormat="false" ht="15" hidden="false" customHeight="false" outlineLevel="0" collapsed="false">
      <c r="A51" s="16"/>
      <c r="B51" s="16"/>
      <c r="C51" s="16"/>
      <c r="D51" s="18" t="str">
        <f aca="false"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8" t="str">
        <f aca="false">IF(OR(L51="",M51=""),"",L51*M51)</f>
        <v/>
      </c>
      <c r="O51" s="16"/>
    </row>
    <row r="52" customFormat="false" ht="15" hidden="false" customHeight="false" outlineLevel="0" collapsed="false">
      <c r="A52" s="16"/>
      <c r="B52" s="16"/>
      <c r="C52" s="16"/>
      <c r="D52" s="18" t="str">
        <f aca="false"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8" t="str">
        <f aca="false">IF(OR(L52="",M52=""),"",L52*M52)</f>
        <v/>
      </c>
      <c r="O52" s="16"/>
    </row>
    <row r="53" customFormat="false" ht="15" hidden="false" customHeight="false" outlineLevel="0" collapsed="false">
      <c r="A53" s="16"/>
      <c r="B53" s="16"/>
      <c r="C53" s="16"/>
      <c r="D53" s="18" t="str">
        <f aca="false"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8" t="str">
        <f aca="false">IF(OR(L53="",M53=""),"",L53*M53)</f>
        <v/>
      </c>
      <c r="O53" s="16"/>
    </row>
    <row r="54" customFormat="false" ht="15" hidden="false" customHeight="false" outlineLevel="0" collapsed="false">
      <c r="A54" s="16"/>
      <c r="B54" s="16"/>
      <c r="C54" s="16"/>
      <c r="D54" s="18" t="str">
        <f aca="false"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8" t="str">
        <f aca="false">IF(OR(L54="",M54=""),"",L54*M54)</f>
        <v/>
      </c>
      <c r="O54" s="16"/>
    </row>
    <row r="55" customFormat="false" ht="15" hidden="false" customHeight="false" outlineLevel="0" collapsed="false">
      <c r="A55" s="16"/>
      <c r="B55" s="16"/>
      <c r="C55" s="16"/>
      <c r="D55" s="18" t="str">
        <f aca="false"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8" t="str">
        <f aca="false">IF(OR(L55="",M55=""),"",L55*M55)</f>
        <v/>
      </c>
      <c r="O55" s="16"/>
    </row>
    <row r="56" customFormat="false" ht="15" hidden="false" customHeight="false" outlineLevel="0" collapsed="false">
      <c r="A56" s="16"/>
      <c r="B56" s="16"/>
      <c r="C56" s="16"/>
      <c r="D56" s="18" t="str">
        <f aca="false"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8" t="str">
        <f aca="false">IF(OR(L56="",M56=""),"",L56*M56)</f>
        <v/>
      </c>
      <c r="O56" s="16"/>
    </row>
    <row r="57" customFormat="false" ht="15" hidden="false" customHeight="false" outlineLevel="0" collapsed="false">
      <c r="A57" s="16"/>
      <c r="B57" s="16"/>
      <c r="C57" s="16"/>
      <c r="D57" s="18" t="str">
        <f aca="false"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8" t="str">
        <f aca="false">IF(OR(L57="",M57=""),"",L57*M57)</f>
        <v/>
      </c>
      <c r="O57" s="16"/>
    </row>
    <row r="58" customFormat="false" ht="15" hidden="false" customHeight="false" outlineLevel="0" collapsed="false">
      <c r="A58" s="16"/>
      <c r="B58" s="16"/>
      <c r="C58" s="16"/>
      <c r="D58" s="18" t="str">
        <f aca="false"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8" t="str">
        <f aca="false">IF(OR(L58="",M58=""),"",L58*M58)</f>
        <v/>
      </c>
      <c r="O58" s="16"/>
    </row>
    <row r="59" customFormat="false" ht="15" hidden="false" customHeight="false" outlineLevel="0" collapsed="false">
      <c r="A59" s="16"/>
      <c r="B59" s="16"/>
      <c r="C59" s="16"/>
      <c r="D59" s="18" t="str">
        <f aca="false"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8" t="str">
        <f aca="false">IF(OR(L59="",M59=""),"",L59*M59)</f>
        <v/>
      </c>
      <c r="O59" s="16"/>
    </row>
    <row r="60" customFormat="false" ht="15" hidden="false" customHeight="false" outlineLevel="0" collapsed="false">
      <c r="A60" s="16"/>
      <c r="B60" s="16"/>
      <c r="C60" s="16"/>
      <c r="D60" s="18" t="str">
        <f aca="false"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8" t="str">
        <f aca="false">IF(OR(L60="",M60=""),"",L60*M60)</f>
        <v/>
      </c>
      <c r="O60" s="16"/>
    </row>
    <row r="61" customFormat="false" ht="15" hidden="false" customHeight="false" outlineLevel="0" collapsed="false">
      <c r="A61" s="16"/>
      <c r="B61" s="16"/>
      <c r="C61" s="16"/>
      <c r="D61" s="18" t="str">
        <f aca="false"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8" t="str">
        <f aca="false">IF(OR(L61="",M61=""),"",L61*M61)</f>
        <v/>
      </c>
      <c r="O61" s="16"/>
    </row>
    <row r="62" customFormat="false" ht="15" hidden="false" customHeight="false" outlineLevel="0" collapsed="false">
      <c r="A62" s="16"/>
      <c r="B62" s="16"/>
      <c r="C62" s="16"/>
      <c r="D62" s="18" t="str">
        <f aca="false"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8" t="str">
        <f aca="false">IF(OR(L62="",M62=""),"",L62*M62)</f>
        <v/>
      </c>
      <c r="O62" s="16"/>
    </row>
    <row r="63" customFormat="false" ht="15" hidden="false" customHeight="false" outlineLevel="0" collapsed="false">
      <c r="A63" s="16"/>
      <c r="B63" s="16"/>
      <c r="C63" s="16"/>
      <c r="D63" s="18" t="str">
        <f aca="false"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8" t="str">
        <f aca="false">IF(OR(L63="",M63=""),"",L63*M63)</f>
        <v/>
      </c>
      <c r="O63" s="16"/>
    </row>
    <row r="64" customFormat="false" ht="15" hidden="false" customHeight="false" outlineLevel="0" collapsed="false">
      <c r="A64" s="16"/>
      <c r="B64" s="16"/>
      <c r="C64" s="16"/>
      <c r="D64" s="18" t="str">
        <f aca="false"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8" t="str">
        <f aca="false">IF(OR(L64="",M64=""),"",L64*M64)</f>
        <v/>
      </c>
      <c r="O64" s="16"/>
    </row>
    <row r="65" customFormat="false" ht="15" hidden="false" customHeight="false" outlineLevel="0" collapsed="false">
      <c r="A65" s="16"/>
      <c r="B65" s="16"/>
      <c r="C65" s="16"/>
      <c r="D65" s="18" t="str">
        <f aca="false"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8" t="str">
        <f aca="false">IF(OR(L65="",M65=""),"",L65*M65)</f>
        <v/>
      </c>
      <c r="O65" s="16"/>
    </row>
    <row r="66" customFormat="false" ht="15" hidden="false" customHeight="false" outlineLevel="0" collapsed="false">
      <c r="A66" s="16"/>
      <c r="B66" s="16"/>
      <c r="C66" s="16"/>
      <c r="D66" s="18" t="str">
        <f aca="false"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8" t="str">
        <f aca="false">IF(OR(L66="",M66=""),"",L66*M66)</f>
        <v/>
      </c>
      <c r="O66" s="16"/>
    </row>
    <row r="67" customFormat="false" ht="15" hidden="false" customHeight="false" outlineLevel="0" collapsed="false">
      <c r="A67" s="16"/>
      <c r="B67" s="16"/>
      <c r="C67" s="16"/>
      <c r="D67" s="18" t="str">
        <f aca="false"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8" t="str">
        <f aca="false">IF(OR(L67="",M67=""),"",L67*M67)</f>
        <v/>
      </c>
      <c r="O67" s="16"/>
    </row>
    <row r="68" customFormat="false" ht="15" hidden="false" customHeight="false" outlineLevel="0" collapsed="false">
      <c r="A68" s="16"/>
      <c r="B68" s="16"/>
      <c r="C68" s="16"/>
      <c r="D68" s="18" t="str">
        <f aca="false"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8" t="str">
        <f aca="false">IF(OR(L68="",M68=""),"",L68*M68)</f>
        <v/>
      </c>
      <c r="O68" s="16"/>
    </row>
    <row r="69" customFormat="false" ht="15" hidden="false" customHeight="false" outlineLevel="0" collapsed="false">
      <c r="A69" s="16"/>
      <c r="B69" s="16"/>
      <c r="C69" s="16"/>
      <c r="D69" s="18" t="str">
        <f aca="false"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8" t="str">
        <f aca="false">IF(OR(L69="",M69=""),"",L69*M69)</f>
        <v/>
      </c>
      <c r="O69" s="16"/>
    </row>
    <row r="70" customFormat="false" ht="15" hidden="false" customHeight="false" outlineLevel="0" collapsed="false">
      <c r="A70" s="16"/>
      <c r="B70" s="16"/>
      <c r="C70" s="16"/>
      <c r="D70" s="18" t="str">
        <f aca="false"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8" t="str">
        <f aca="false">IF(OR(L70="",M70=""),"",L70*M70)</f>
        <v/>
      </c>
      <c r="O70" s="16"/>
    </row>
    <row r="71" customFormat="false" ht="15" hidden="false" customHeight="false" outlineLevel="0" collapsed="false">
      <c r="A71" s="16"/>
      <c r="B71" s="16"/>
      <c r="C71" s="16"/>
      <c r="D71" s="18" t="str">
        <f aca="false"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8" t="str">
        <f aca="false">IF(OR(L71="",M71=""),"",L71*M71)</f>
        <v/>
      </c>
      <c r="O71" s="16"/>
    </row>
    <row r="72" customFormat="false" ht="15" hidden="false" customHeight="false" outlineLevel="0" collapsed="false">
      <c r="A72" s="16"/>
      <c r="B72" s="16"/>
      <c r="C72" s="16"/>
      <c r="D72" s="18" t="str">
        <f aca="false"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8" t="str">
        <f aca="false">IF(OR(L72="",M72=""),"",L72*M72)</f>
        <v/>
      </c>
      <c r="O72" s="16"/>
    </row>
    <row r="73" customFormat="false" ht="15" hidden="false" customHeight="false" outlineLevel="0" collapsed="false">
      <c r="A73" s="16"/>
      <c r="B73" s="16"/>
      <c r="C73" s="16"/>
      <c r="D73" s="18" t="str">
        <f aca="false"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8" t="str">
        <f aca="false">IF(OR(L73="",M73=""),"",L73*M73)</f>
        <v/>
      </c>
      <c r="O73" s="16"/>
    </row>
    <row r="74" customFormat="false" ht="15" hidden="false" customHeight="false" outlineLevel="0" collapsed="false">
      <c r="A74" s="16"/>
      <c r="B74" s="16"/>
      <c r="C74" s="16"/>
      <c r="D74" s="18" t="str">
        <f aca="false"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8" t="str">
        <f aca="false">IF(OR(L74="",M74=""),"",L74*M74)</f>
        <v/>
      </c>
      <c r="O74" s="16"/>
    </row>
    <row r="75" customFormat="false" ht="15" hidden="false" customHeight="false" outlineLevel="0" collapsed="false">
      <c r="A75" s="16"/>
      <c r="B75" s="16"/>
      <c r="C75" s="16"/>
      <c r="D75" s="18" t="str">
        <f aca="false"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8" t="str">
        <f aca="false">IF(OR(L75="",M75=""),"",L75*M75)</f>
        <v/>
      </c>
      <c r="O75" s="16"/>
    </row>
    <row r="76" customFormat="false" ht="15" hidden="false" customHeight="false" outlineLevel="0" collapsed="false">
      <c r="A76" s="16"/>
      <c r="B76" s="16"/>
      <c r="C76" s="16"/>
      <c r="D76" s="18" t="str">
        <f aca="false"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8" t="str">
        <f aca="false">IF(OR(L76="",M76=""),"",L76*M76)</f>
        <v/>
      </c>
      <c r="O76" s="16"/>
    </row>
    <row r="77" customFormat="false" ht="15" hidden="false" customHeight="false" outlineLevel="0" collapsed="false">
      <c r="A77" s="16"/>
      <c r="B77" s="16"/>
      <c r="C77" s="16"/>
      <c r="D77" s="18" t="str">
        <f aca="false"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8" t="str">
        <f aca="false">IF(OR(L77="",M77=""),"",L77*M77)</f>
        <v/>
      </c>
      <c r="O77" s="16"/>
    </row>
    <row r="78" customFormat="false" ht="15" hidden="false" customHeight="false" outlineLevel="0" collapsed="false">
      <c r="A78" s="16"/>
      <c r="B78" s="16"/>
      <c r="C78" s="16"/>
      <c r="D78" s="18" t="str">
        <f aca="false"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8" t="str">
        <f aca="false">IF(OR(L78="",M78=""),"",L78*M78)</f>
        <v/>
      </c>
      <c r="O78" s="16"/>
    </row>
    <row r="79" customFormat="false" ht="15" hidden="false" customHeight="false" outlineLevel="0" collapsed="false">
      <c r="A79" s="16"/>
      <c r="B79" s="16"/>
      <c r="C79" s="16"/>
      <c r="D79" s="18" t="str">
        <f aca="false"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8" t="str">
        <f aca="false">IF(OR(L79="",M79=""),"",L79*M79)</f>
        <v/>
      </c>
      <c r="O79" s="16"/>
    </row>
    <row r="80" customFormat="false" ht="15" hidden="false" customHeight="false" outlineLevel="0" collapsed="false">
      <c r="A80" s="16"/>
      <c r="B80" s="16"/>
      <c r="C80" s="16"/>
      <c r="D80" s="18" t="str">
        <f aca="false"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8" t="str">
        <f aca="false">IF(OR(L80="",M80=""),"",L80*M80)</f>
        <v/>
      </c>
      <c r="O80" s="16"/>
    </row>
    <row r="81" customFormat="false" ht="15" hidden="false" customHeight="false" outlineLevel="0" collapsed="false">
      <c r="A81" s="16"/>
      <c r="B81" s="16"/>
      <c r="C81" s="16"/>
      <c r="D81" s="18" t="str">
        <f aca="false"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8" t="str">
        <f aca="false">IF(OR(L81="",M81=""),"",L81*M81)</f>
        <v/>
      </c>
      <c r="O81" s="16"/>
    </row>
    <row r="82" customFormat="false" ht="15" hidden="false" customHeight="false" outlineLevel="0" collapsed="false">
      <c r="A82" s="16"/>
      <c r="B82" s="16"/>
      <c r="C82" s="16"/>
      <c r="D82" s="18" t="str">
        <f aca="false"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8" t="str">
        <f aca="false">IF(OR(L82="",M82=""),"",L82*M82)</f>
        <v/>
      </c>
      <c r="O82" s="16"/>
    </row>
    <row r="83" customFormat="false" ht="15" hidden="false" customHeight="false" outlineLevel="0" collapsed="false">
      <c r="A83" s="16"/>
      <c r="B83" s="16"/>
      <c r="C83" s="16"/>
      <c r="D83" s="18" t="str">
        <f aca="false"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8" t="str">
        <f aca="false">IF(OR(L83="",M83=""),"",L83*M83)</f>
        <v/>
      </c>
      <c r="O83" s="16"/>
    </row>
    <row r="84" customFormat="false" ht="15" hidden="false" customHeight="false" outlineLevel="0" collapsed="false">
      <c r="A84" s="16"/>
      <c r="B84" s="16"/>
      <c r="C84" s="16"/>
      <c r="D84" s="18" t="str">
        <f aca="false"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8" t="str">
        <f aca="false">IF(OR(L84="",M84=""),"",L84*M84)</f>
        <v/>
      </c>
      <c r="O84" s="16"/>
    </row>
    <row r="85" customFormat="false" ht="15" hidden="false" customHeight="false" outlineLevel="0" collapsed="false">
      <c r="A85" s="16"/>
      <c r="B85" s="16"/>
      <c r="C85" s="16"/>
      <c r="D85" s="18" t="str">
        <f aca="false"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8" t="str">
        <f aca="false">IF(OR(L85="",M85=""),"",L85*M85)</f>
        <v/>
      </c>
      <c r="O85" s="16"/>
    </row>
    <row r="86" customFormat="false" ht="15" hidden="false" customHeight="false" outlineLevel="0" collapsed="false">
      <c r="A86" s="16"/>
      <c r="B86" s="16"/>
      <c r="C86" s="16"/>
      <c r="D86" s="18" t="str">
        <f aca="false"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8" t="str">
        <f aca="false">IF(OR(L86="",M86=""),"",L86*M86)</f>
        <v/>
      </c>
      <c r="O86" s="16"/>
    </row>
    <row r="87" customFormat="false" ht="15" hidden="false" customHeight="false" outlineLevel="0" collapsed="false">
      <c r="A87" s="16"/>
      <c r="B87" s="16"/>
      <c r="C87" s="16"/>
      <c r="D87" s="18" t="str">
        <f aca="false"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8" t="str">
        <f aca="false">IF(OR(L87="",M87=""),"",L87*M87)</f>
        <v/>
      </c>
      <c r="O87" s="16"/>
    </row>
    <row r="88" customFormat="false" ht="15" hidden="false" customHeight="false" outlineLevel="0" collapsed="false">
      <c r="A88" s="16"/>
      <c r="B88" s="16"/>
      <c r="C88" s="16"/>
      <c r="D88" s="18" t="str">
        <f aca="false"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8" t="str">
        <f aca="false">IF(OR(L88="",M88=""),"",L88*M88)</f>
        <v/>
      </c>
      <c r="O88" s="16"/>
    </row>
    <row r="89" customFormat="false" ht="15" hidden="false" customHeight="false" outlineLevel="0" collapsed="false">
      <c r="A89" s="16"/>
      <c r="B89" s="16"/>
      <c r="C89" s="16"/>
      <c r="D89" s="18" t="str">
        <f aca="false"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8" t="str">
        <f aca="false">IF(OR(L89="",M89=""),"",L89*M89)</f>
        <v/>
      </c>
      <c r="O89" s="16"/>
    </row>
    <row r="90" customFormat="false" ht="15" hidden="false" customHeight="false" outlineLevel="0" collapsed="false">
      <c r="A90" s="16"/>
      <c r="B90" s="16"/>
      <c r="C90" s="16"/>
      <c r="D90" s="18" t="str">
        <f aca="false"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8" t="str">
        <f aca="false">IF(OR(L90="",M90=""),"",L90*M90)</f>
        <v/>
      </c>
      <c r="O90" s="16"/>
    </row>
    <row r="91" customFormat="false" ht="15" hidden="false" customHeight="false" outlineLevel="0" collapsed="false">
      <c r="A91" s="16"/>
      <c r="B91" s="16"/>
      <c r="C91" s="16"/>
      <c r="D91" s="18" t="str">
        <f aca="false"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8" t="str">
        <f aca="false">IF(OR(L91="",M91=""),"",L91*M91)</f>
        <v/>
      </c>
      <c r="O91" s="16"/>
    </row>
    <row r="92" customFormat="false" ht="15" hidden="false" customHeight="false" outlineLevel="0" collapsed="false">
      <c r="A92" s="16"/>
      <c r="B92" s="16"/>
      <c r="C92" s="16"/>
      <c r="D92" s="18" t="str">
        <f aca="false"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8" t="str">
        <f aca="false">IF(OR(L92="",M92=""),"",L92*M92)</f>
        <v/>
      </c>
      <c r="O92" s="16"/>
    </row>
    <row r="93" customFormat="false" ht="15" hidden="false" customHeight="false" outlineLevel="0" collapsed="false">
      <c r="A93" s="16"/>
      <c r="B93" s="16"/>
      <c r="C93" s="16"/>
      <c r="D93" s="18" t="str">
        <f aca="false"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8" t="str">
        <f aca="false">IF(OR(L93="",M93=""),"",L93*M93)</f>
        <v/>
      </c>
      <c r="O93" s="16"/>
    </row>
    <row r="94" customFormat="false" ht="15" hidden="false" customHeight="false" outlineLevel="0" collapsed="false">
      <c r="A94" s="16"/>
      <c r="B94" s="16"/>
      <c r="C94" s="16"/>
      <c r="D94" s="18" t="str">
        <f aca="false"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8" t="str">
        <f aca="false">IF(OR(L94="",M94=""),"",L94*M94)</f>
        <v/>
      </c>
      <c r="O94" s="16"/>
    </row>
    <row r="95" customFormat="false" ht="15" hidden="false" customHeight="false" outlineLevel="0" collapsed="false">
      <c r="A95" s="16"/>
      <c r="B95" s="16"/>
      <c r="C95" s="16"/>
      <c r="D95" s="18" t="str">
        <f aca="false"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8" t="str">
        <f aca="false">IF(OR(L95="",M95=""),"",L95*M95)</f>
        <v/>
      </c>
      <c r="O95" s="16"/>
    </row>
    <row r="96" customFormat="false" ht="15" hidden="false" customHeight="false" outlineLevel="0" collapsed="false">
      <c r="A96" s="16"/>
      <c r="B96" s="16"/>
      <c r="C96" s="16"/>
      <c r="D96" s="18" t="str">
        <f aca="false"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8" t="str">
        <f aca="false">IF(OR(L96="",M96=""),"",L96*M96)</f>
        <v/>
      </c>
      <c r="O96" s="16"/>
    </row>
    <row r="97" customFormat="false" ht="15" hidden="false" customHeight="false" outlineLevel="0" collapsed="false">
      <c r="A97" s="16"/>
      <c r="B97" s="16"/>
      <c r="C97" s="16"/>
      <c r="D97" s="18" t="str">
        <f aca="false"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8" t="str">
        <f aca="false">IF(OR(L97="",M97=""),"",L97*M97)</f>
        <v/>
      </c>
      <c r="O97" s="16"/>
    </row>
    <row r="98" customFormat="false" ht="15" hidden="false" customHeight="false" outlineLevel="0" collapsed="false">
      <c r="A98" s="16"/>
      <c r="B98" s="16"/>
      <c r="C98" s="16"/>
      <c r="D98" s="18" t="str">
        <f aca="false"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8" t="str">
        <f aca="false">IF(OR(L98="",M98=""),"",L98*M98)</f>
        <v/>
      </c>
      <c r="O98" s="16"/>
    </row>
    <row r="99" customFormat="false" ht="15" hidden="false" customHeight="false" outlineLevel="0" collapsed="false">
      <c r="A99" s="16"/>
      <c r="B99" s="16"/>
      <c r="C99" s="16"/>
      <c r="D99" s="18" t="str">
        <f aca="false"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8" t="str">
        <f aca="false">IF(OR(L99="",M99=""),"",L99*M99)</f>
        <v/>
      </c>
      <c r="O99" s="16"/>
    </row>
    <row r="100" customFormat="false" ht="15" hidden="false" customHeight="false" outlineLevel="0" collapsed="false">
      <c r="A100" s="16"/>
      <c r="B100" s="16"/>
      <c r="C100" s="16"/>
      <c r="D100" s="18" t="str">
        <f aca="false"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8" t="str">
        <f aca="false">IF(OR(L100="",M100=""),"",L100*M100)</f>
        <v/>
      </c>
      <c r="O100" s="16"/>
    </row>
    <row r="101" customFormat="false" ht="15" hidden="false" customHeight="false" outlineLevel="0" collapsed="false">
      <c r="A101" s="16"/>
      <c r="B101" s="16"/>
      <c r="C101" s="16"/>
      <c r="D101" s="18" t="str">
        <f aca="false"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8" t="str">
        <f aca="false">IF(OR(L101="",M101=""),"",L101*M101)</f>
        <v/>
      </c>
      <c r="O101" s="16"/>
    </row>
    <row r="102" customFormat="false" ht="15" hidden="false" customHeight="false" outlineLevel="0" collapsed="false">
      <c r="A102" s="16"/>
      <c r="B102" s="16"/>
      <c r="C102" s="16"/>
      <c r="D102" s="18" t="str">
        <f aca="false"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8" t="str">
        <f aca="false">IF(OR(L102="",M102=""),"",L102*M102)</f>
        <v/>
      </c>
      <c r="O102" s="16"/>
    </row>
    <row r="103" customFormat="false" ht="15" hidden="false" customHeight="false" outlineLevel="0" collapsed="false">
      <c r="A103" s="16"/>
      <c r="B103" s="16"/>
      <c r="C103" s="16"/>
      <c r="D103" s="18" t="str">
        <f aca="false"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8" t="str">
        <f aca="false">IF(OR(L103="",M103=""),"",L103*M103)</f>
        <v/>
      </c>
      <c r="O103" s="16"/>
    </row>
    <row r="104" customFormat="false" ht="15" hidden="false" customHeight="false" outlineLevel="0" collapsed="false">
      <c r="A104" s="16"/>
      <c r="B104" s="16"/>
      <c r="C104" s="16"/>
      <c r="D104" s="18" t="str">
        <f aca="false"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8" t="str">
        <f aca="false">IF(OR(L104="",M104=""),"",L104*M104)</f>
        <v/>
      </c>
      <c r="O104" s="16"/>
    </row>
    <row r="105" customFormat="false" ht="15" hidden="false" customHeight="false" outlineLevel="0" collapsed="false">
      <c r="A105" s="16"/>
      <c r="B105" s="16"/>
      <c r="C105" s="16"/>
      <c r="D105" s="18" t="str">
        <f aca="false"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8" t="str">
        <f aca="false">IF(OR(L105="",M105=""),"",L105*M105)</f>
        <v/>
      </c>
      <c r="O105" s="16"/>
    </row>
    <row r="106" customFormat="false" ht="15" hidden="false" customHeight="false" outlineLevel="0" collapsed="false">
      <c r="A106" s="16"/>
      <c r="B106" s="16"/>
      <c r="C106" s="16"/>
      <c r="D106" s="18" t="str">
        <f aca="false"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aca="false">IF(OR(L106="",M106=""),"",L106*M106)</f>
        <v/>
      </c>
      <c r="O106" s="16"/>
    </row>
    <row r="107" customFormat="false" ht="15" hidden="false" customHeight="false" outlineLevel="0" collapsed="false">
      <c r="A107" s="16"/>
      <c r="B107" s="16"/>
      <c r="C107" s="16"/>
      <c r="D107" s="18" t="str">
        <f aca="false"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aca="false">IF(OR(L107="",M107=""),"",L107*M107)</f>
        <v/>
      </c>
      <c r="O107" s="16"/>
    </row>
    <row r="108" customFormat="false" ht="15" hidden="false" customHeight="false" outlineLevel="0" collapsed="false">
      <c r="A108" s="16"/>
      <c r="B108" s="16"/>
      <c r="C108" s="16"/>
      <c r="D108" s="18" t="str">
        <f aca="false"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aca="false">IF(OR(L108="",M108=""),"",L108*M108)</f>
        <v/>
      </c>
      <c r="O108" s="16"/>
    </row>
    <row r="109" customFormat="false" ht="15" hidden="false" customHeight="false" outlineLevel="0" collapsed="false">
      <c r="A109" s="16"/>
      <c r="B109" s="16"/>
      <c r="C109" s="16"/>
      <c r="D109" s="18" t="str">
        <f aca="false"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aca="false">IF(OR(L109="",M109=""),"",L109*M109)</f>
        <v/>
      </c>
      <c r="O109" s="16"/>
    </row>
    <row r="110" customFormat="false" ht="15" hidden="false" customHeight="false" outlineLevel="0" collapsed="false">
      <c r="A110" s="16"/>
      <c r="B110" s="16"/>
      <c r="C110" s="16"/>
      <c r="D110" s="18" t="str">
        <f aca="false"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aca="false">IF(OR(L110="",M110=""),"",L110*M110)</f>
        <v/>
      </c>
      <c r="O110" s="16"/>
    </row>
    <row r="111" customFormat="false" ht="15" hidden="false" customHeight="false" outlineLevel="0" collapsed="false">
      <c r="A111" s="16"/>
      <c r="B111" s="16"/>
      <c r="C111" s="16"/>
      <c r="D111" s="18" t="str">
        <f aca="false"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aca="false">IF(OR(L111="",M111=""),"",L111*M111)</f>
        <v/>
      </c>
      <c r="O111" s="16"/>
    </row>
    <row r="112" customFormat="false" ht="15" hidden="false" customHeight="false" outlineLevel="0" collapsed="false">
      <c r="A112" s="16"/>
      <c r="B112" s="16"/>
      <c r="C112" s="16"/>
      <c r="D112" s="18" t="str">
        <f aca="false"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aca="false">IF(OR(L112="",M112=""),"",L112*M112)</f>
        <v/>
      </c>
      <c r="O112" s="16"/>
    </row>
    <row r="113" customFormat="false" ht="15" hidden="false" customHeight="false" outlineLevel="0" collapsed="false">
      <c r="A113" s="16"/>
      <c r="B113" s="16"/>
      <c r="C113" s="16"/>
      <c r="D113" s="18" t="str">
        <f aca="false"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aca="false">IF(OR(L113="",M113=""),"",L113*M113)</f>
        <v/>
      </c>
      <c r="O113" s="16"/>
    </row>
    <row r="114" customFormat="false" ht="15" hidden="false" customHeight="false" outlineLevel="0" collapsed="false">
      <c r="A114" s="16"/>
      <c r="B114" s="16"/>
      <c r="C114" s="16"/>
      <c r="D114" s="18" t="str">
        <f aca="false"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aca="false">IF(OR(L114="",M114=""),"",L114*M114)</f>
        <v/>
      </c>
      <c r="O114" s="16"/>
    </row>
    <row r="115" customFormat="false" ht="15" hidden="false" customHeight="false" outlineLevel="0" collapsed="false">
      <c r="A115" s="16"/>
      <c r="B115" s="16"/>
      <c r="C115" s="16"/>
      <c r="D115" s="18" t="str">
        <f aca="false"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aca="false">IF(OR(L115="",M115=""),"",L115*M115)</f>
        <v/>
      </c>
      <c r="O115" s="16"/>
    </row>
    <row r="116" customFormat="false" ht="15" hidden="false" customHeight="false" outlineLevel="0" collapsed="false">
      <c r="A116" s="16"/>
      <c r="B116" s="16"/>
      <c r="C116" s="16"/>
      <c r="D116" s="18" t="str">
        <f aca="false"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aca="false">IF(OR(L116="",M116=""),"",L116*M116)</f>
        <v/>
      </c>
      <c r="O116" s="16"/>
    </row>
    <row r="117" customFormat="false" ht="15" hidden="false" customHeight="false" outlineLevel="0" collapsed="false">
      <c r="A117" s="16"/>
      <c r="B117" s="16"/>
      <c r="C117" s="16"/>
      <c r="D117" s="18" t="str">
        <f aca="false"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aca="false">IF(OR(L117="",M117=""),"",L117*M117)</f>
        <v/>
      </c>
      <c r="O117" s="16"/>
    </row>
    <row r="118" customFormat="false" ht="15" hidden="false" customHeight="false" outlineLevel="0" collapsed="false">
      <c r="A118" s="16"/>
      <c r="B118" s="16"/>
      <c r="C118" s="16"/>
      <c r="D118" s="18" t="str">
        <f aca="false"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aca="false">IF(OR(L118="",M118=""),"",L118*M118)</f>
        <v/>
      </c>
      <c r="O118" s="16"/>
    </row>
    <row r="119" customFormat="false" ht="15" hidden="false" customHeight="false" outlineLevel="0" collapsed="false">
      <c r="A119" s="16"/>
      <c r="B119" s="16"/>
      <c r="C119" s="16"/>
      <c r="D119" s="18" t="str">
        <f aca="false"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aca="false">IF(OR(L119="",M119=""),"",L119*M119)</f>
        <v/>
      </c>
      <c r="O119" s="16"/>
    </row>
    <row r="120" customFormat="false" ht="15" hidden="false" customHeight="false" outlineLevel="0" collapsed="false">
      <c r="A120" s="16"/>
      <c r="B120" s="16"/>
      <c r="C120" s="16"/>
      <c r="D120" s="18" t="str">
        <f aca="false"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aca="false">IF(OR(L120="",M120=""),"",L120*M120)</f>
        <v/>
      </c>
      <c r="O120" s="16"/>
    </row>
    <row r="121" customFormat="false" ht="15" hidden="false" customHeight="false" outlineLevel="0" collapsed="false">
      <c r="A121" s="16"/>
      <c r="B121" s="16"/>
      <c r="C121" s="16"/>
      <c r="D121" s="18" t="str">
        <f aca="false"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aca="false">IF(OR(L121="",M121=""),"",L121*M121)</f>
        <v/>
      </c>
      <c r="O121" s="16"/>
    </row>
    <row r="122" customFormat="false" ht="15" hidden="false" customHeight="false" outlineLevel="0" collapsed="false">
      <c r="A122" s="16"/>
      <c r="B122" s="16"/>
      <c r="C122" s="16"/>
      <c r="D122" s="18" t="str">
        <f aca="false"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aca="false">IF(OR(L122="",M122=""),"",L122*M122)</f>
        <v/>
      </c>
      <c r="O122" s="16"/>
    </row>
    <row r="123" customFormat="false" ht="15" hidden="false" customHeight="false" outlineLevel="0" collapsed="false">
      <c r="A123" s="16"/>
      <c r="B123" s="16"/>
      <c r="C123" s="16"/>
      <c r="D123" s="18" t="str">
        <f aca="false"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aca="false">IF(OR(L123="",M123=""),"",L123*M123)</f>
        <v/>
      </c>
      <c r="O123" s="16"/>
    </row>
    <row r="124" customFormat="false" ht="15" hidden="false" customHeight="false" outlineLevel="0" collapsed="false">
      <c r="A124" s="16"/>
      <c r="B124" s="16"/>
      <c r="C124" s="16"/>
      <c r="D124" s="18" t="str">
        <f aca="false"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aca="false">IF(OR(L124="",M124=""),"",L124*M124)</f>
        <v/>
      </c>
      <c r="O124" s="16"/>
    </row>
    <row r="125" customFormat="false" ht="15" hidden="false" customHeight="false" outlineLevel="0" collapsed="false">
      <c r="A125" s="16"/>
      <c r="B125" s="16"/>
      <c r="C125" s="16"/>
      <c r="D125" s="18" t="str">
        <f aca="false"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aca="false">IF(OR(L125="",M125=""),"",L125*M125)</f>
        <v/>
      </c>
      <c r="O125" s="16"/>
    </row>
    <row r="126" customFormat="false" ht="15" hidden="false" customHeight="false" outlineLevel="0" collapsed="false">
      <c r="A126" s="16"/>
      <c r="B126" s="16"/>
      <c r="C126" s="16"/>
      <c r="D126" s="18" t="str">
        <f aca="false"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aca="false">IF(OR(L126="",M126=""),"",L126*M126)</f>
        <v/>
      </c>
      <c r="O126" s="16"/>
    </row>
    <row r="127" customFormat="false" ht="15" hidden="false" customHeight="false" outlineLevel="0" collapsed="false">
      <c r="A127" s="16"/>
      <c r="B127" s="16"/>
      <c r="C127" s="16"/>
      <c r="D127" s="18" t="str">
        <f aca="false"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aca="false">IF(OR(L127="",M127=""),"",L127*M127)</f>
        <v/>
      </c>
      <c r="O127" s="16"/>
    </row>
    <row r="128" customFormat="false" ht="15" hidden="false" customHeight="false" outlineLevel="0" collapsed="false">
      <c r="A128" s="16"/>
      <c r="B128" s="16"/>
      <c r="C128" s="16"/>
      <c r="D128" s="18" t="str">
        <f aca="false"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aca="false">IF(OR(L128="",M128=""),"",L128*M128)</f>
        <v/>
      </c>
      <c r="O128" s="16"/>
    </row>
    <row r="129" customFormat="false" ht="15" hidden="false" customHeight="false" outlineLevel="0" collapsed="false">
      <c r="A129" s="16"/>
      <c r="B129" s="16"/>
      <c r="C129" s="16"/>
      <c r="D129" s="18" t="str">
        <f aca="false"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aca="false">IF(OR(L129="",M129=""),"",L129*M129)</f>
        <v/>
      </c>
      <c r="O129" s="16"/>
    </row>
    <row r="130" customFormat="false" ht="15" hidden="false" customHeight="false" outlineLevel="0" collapsed="false">
      <c r="A130" s="16"/>
      <c r="B130" s="16"/>
      <c r="C130" s="16"/>
      <c r="D130" s="18" t="str">
        <f aca="false"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aca="false">IF(OR(L130="",M130=""),"",L130*M130)</f>
        <v/>
      </c>
      <c r="O130" s="16"/>
    </row>
    <row r="131" customFormat="false" ht="15" hidden="false" customHeight="false" outlineLevel="0" collapsed="false">
      <c r="A131" s="16"/>
      <c r="B131" s="16"/>
      <c r="C131" s="16"/>
      <c r="D131" s="18" t="str">
        <f aca="false"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aca="false">IF(OR(L131="",M131=""),"",L131*M131)</f>
        <v/>
      </c>
      <c r="O131" s="16"/>
    </row>
    <row r="132" customFormat="false" ht="15" hidden="false" customHeight="false" outlineLevel="0" collapsed="false">
      <c r="A132" s="16"/>
      <c r="B132" s="16"/>
      <c r="C132" s="16"/>
      <c r="D132" s="18" t="str">
        <f aca="false"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aca="false">IF(OR(L132="",M132=""),"",L132*M132)</f>
        <v/>
      </c>
      <c r="O132" s="16"/>
    </row>
    <row r="133" customFormat="false" ht="15" hidden="false" customHeight="false" outlineLevel="0" collapsed="false">
      <c r="A133" s="16"/>
      <c r="B133" s="16"/>
      <c r="C133" s="16"/>
      <c r="D133" s="18" t="str">
        <f aca="false"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aca="false">IF(OR(L133="",M133=""),"",L133*M133)</f>
        <v/>
      </c>
      <c r="O133" s="16"/>
    </row>
    <row r="134" customFormat="false" ht="15" hidden="false" customHeight="false" outlineLevel="0" collapsed="false">
      <c r="A134" s="16"/>
      <c r="B134" s="16"/>
      <c r="C134" s="16"/>
      <c r="D134" s="18" t="str">
        <f aca="false"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aca="false">IF(OR(L134="",M134=""),"",L134*M134)</f>
        <v/>
      </c>
      <c r="O134" s="16"/>
    </row>
    <row r="135" customFormat="false" ht="15" hidden="false" customHeight="false" outlineLevel="0" collapsed="false">
      <c r="A135" s="16"/>
      <c r="B135" s="16"/>
      <c r="C135" s="16"/>
      <c r="D135" s="18" t="str">
        <f aca="false"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aca="false">IF(OR(L135="",M135=""),"",L135*M135)</f>
        <v/>
      </c>
      <c r="O135" s="16"/>
    </row>
    <row r="136" customFormat="false" ht="15" hidden="false" customHeight="false" outlineLevel="0" collapsed="false">
      <c r="A136" s="16"/>
      <c r="B136" s="16"/>
      <c r="C136" s="16"/>
      <c r="D136" s="18" t="str">
        <f aca="false"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aca="false">IF(OR(L136="",M136=""),"",L136*M136)</f>
        <v/>
      </c>
      <c r="O136" s="16"/>
    </row>
    <row r="137" customFormat="false" ht="15" hidden="false" customHeight="false" outlineLevel="0" collapsed="false">
      <c r="A137" s="16"/>
      <c r="B137" s="16"/>
      <c r="C137" s="16"/>
      <c r="D137" s="18" t="str">
        <f aca="false"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aca="false">IF(OR(L137="",M137=""),"",L137*M137)</f>
        <v/>
      </c>
      <c r="O137" s="16"/>
    </row>
    <row r="138" customFormat="false" ht="15" hidden="false" customHeight="false" outlineLevel="0" collapsed="false">
      <c r="A138" s="16"/>
      <c r="B138" s="16"/>
      <c r="C138" s="16"/>
      <c r="D138" s="18" t="str">
        <f aca="false"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aca="false">IF(OR(L138="",M138=""),"",L138*M138)</f>
        <v/>
      </c>
      <c r="O138" s="16"/>
    </row>
    <row r="139" customFormat="false" ht="15" hidden="false" customHeight="false" outlineLevel="0" collapsed="false">
      <c r="A139" s="16"/>
      <c r="B139" s="16"/>
      <c r="C139" s="16"/>
      <c r="D139" s="18" t="str">
        <f aca="false"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aca="false">IF(OR(L139="",M139=""),"",L139*M139)</f>
        <v/>
      </c>
      <c r="O139" s="16"/>
    </row>
    <row r="140" customFormat="false" ht="15" hidden="false" customHeight="false" outlineLevel="0" collapsed="false">
      <c r="A140" s="16"/>
      <c r="B140" s="16"/>
      <c r="C140" s="16"/>
      <c r="D140" s="18" t="str">
        <f aca="false"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aca="false">IF(OR(L140="",M140=""),"",L140*M140)</f>
        <v/>
      </c>
      <c r="O140" s="16"/>
    </row>
    <row r="141" customFormat="false" ht="15" hidden="false" customHeight="false" outlineLevel="0" collapsed="false">
      <c r="A141" s="16"/>
      <c r="B141" s="16"/>
      <c r="C141" s="16"/>
      <c r="D141" s="18" t="str">
        <f aca="false"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aca="false">IF(OR(L141="",M141=""),"",L141*M141)</f>
        <v/>
      </c>
      <c r="O141" s="16"/>
    </row>
    <row r="142" customFormat="false" ht="15" hidden="false" customHeight="false" outlineLevel="0" collapsed="false">
      <c r="A142" s="16"/>
      <c r="B142" s="16"/>
      <c r="C142" s="16"/>
      <c r="D142" s="18" t="str">
        <f aca="false"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aca="false">IF(OR(L142="",M142=""),"",L142*M142)</f>
        <v/>
      </c>
      <c r="O142" s="16"/>
    </row>
    <row r="143" customFormat="false" ht="15" hidden="false" customHeight="false" outlineLevel="0" collapsed="false">
      <c r="A143" s="16"/>
      <c r="B143" s="16"/>
      <c r="C143" s="16"/>
      <c r="D143" s="18" t="str">
        <f aca="false"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aca="false">IF(OR(L143="",M143=""),"",L143*M143)</f>
        <v/>
      </c>
      <c r="O143" s="16"/>
    </row>
    <row r="144" customFormat="false" ht="15" hidden="false" customHeight="false" outlineLevel="0" collapsed="false">
      <c r="A144" s="16"/>
      <c r="B144" s="16"/>
      <c r="C144" s="16"/>
      <c r="D144" s="18" t="str">
        <f aca="false"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aca="false">IF(OR(L144="",M144=""),"",L144*M144)</f>
        <v/>
      </c>
      <c r="O144" s="16"/>
    </row>
    <row r="145" customFormat="false" ht="15" hidden="false" customHeight="false" outlineLevel="0" collapsed="false">
      <c r="A145" s="16"/>
      <c r="B145" s="16"/>
      <c r="C145" s="16"/>
      <c r="D145" s="18" t="str">
        <f aca="false"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aca="false">IF(OR(L145="",M145=""),"",L145*M145)</f>
        <v/>
      </c>
      <c r="O145" s="16"/>
    </row>
    <row r="146" customFormat="false" ht="15" hidden="false" customHeight="false" outlineLevel="0" collapsed="false">
      <c r="A146" s="16"/>
      <c r="B146" s="16"/>
      <c r="C146" s="16"/>
      <c r="D146" s="18" t="str">
        <f aca="false"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aca="false">IF(OR(L146="",M146=""),"",L146*M146)</f>
        <v/>
      </c>
      <c r="O146" s="16"/>
    </row>
    <row r="147" customFormat="false" ht="15" hidden="false" customHeight="false" outlineLevel="0" collapsed="false">
      <c r="A147" s="16"/>
      <c r="B147" s="16"/>
      <c r="C147" s="16"/>
      <c r="D147" s="18" t="str">
        <f aca="false"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aca="false">IF(OR(L147="",M147=""),"",L147*M147)</f>
        <v/>
      </c>
      <c r="O147" s="16"/>
    </row>
    <row r="148" customFormat="false" ht="15" hidden="false" customHeight="false" outlineLevel="0" collapsed="false">
      <c r="A148" s="16"/>
      <c r="B148" s="16"/>
      <c r="C148" s="16"/>
      <c r="D148" s="18" t="str">
        <f aca="false"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aca="false">IF(OR(L148="",M148=""),"",L148*M148)</f>
        <v/>
      </c>
      <c r="O148" s="16"/>
    </row>
    <row r="149" customFormat="false" ht="15" hidden="false" customHeight="false" outlineLevel="0" collapsed="false">
      <c r="A149" s="16"/>
      <c r="B149" s="16"/>
      <c r="C149" s="16"/>
      <c r="D149" s="18" t="str">
        <f aca="false"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aca="false">IF(OR(L149="",M149=""),"",L149*M149)</f>
        <v/>
      </c>
      <c r="O149" s="16"/>
    </row>
    <row r="150" customFormat="false" ht="15" hidden="false" customHeight="false" outlineLevel="0" collapsed="false">
      <c r="A150" s="16"/>
      <c r="B150" s="16"/>
      <c r="C150" s="16"/>
      <c r="D150" s="18" t="str">
        <f aca="false"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aca="false">IF(OR(L150="",M150=""),"",L150*M150)</f>
        <v/>
      </c>
      <c r="O150" s="16"/>
    </row>
    <row r="151" customFormat="false" ht="15" hidden="false" customHeight="false" outlineLevel="0" collapsed="false">
      <c r="A151" s="16"/>
      <c r="B151" s="16"/>
      <c r="C151" s="16"/>
      <c r="D151" s="18" t="str">
        <f aca="false"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aca="false">IF(OR(L151="",M151=""),"",L151*M151)</f>
        <v/>
      </c>
      <c r="O151" s="16"/>
    </row>
    <row r="152" customFormat="false" ht="15" hidden="false" customHeight="false" outlineLevel="0" collapsed="false">
      <c r="A152" s="16"/>
      <c r="B152" s="16"/>
      <c r="C152" s="16"/>
      <c r="D152" s="18" t="str">
        <f aca="false"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aca="false">IF(OR(L152="",M152=""),"",L152*M152)</f>
        <v/>
      </c>
      <c r="O152" s="16"/>
    </row>
    <row r="153" customFormat="false" ht="15" hidden="false" customHeight="false" outlineLevel="0" collapsed="false">
      <c r="A153" s="16"/>
      <c r="B153" s="16"/>
      <c r="C153" s="16"/>
      <c r="D153" s="18" t="str">
        <f aca="false"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aca="false">IF(OR(L153="",M153=""),"",L153*M153)</f>
        <v/>
      </c>
      <c r="O153" s="16"/>
    </row>
    <row r="154" customFormat="false" ht="15" hidden="false" customHeight="false" outlineLevel="0" collapsed="false">
      <c r="A154" s="16"/>
      <c r="B154" s="16"/>
      <c r="C154" s="16"/>
      <c r="D154" s="18" t="str">
        <f aca="false"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aca="false">IF(OR(L154="",M154=""),"",L154*M154)</f>
        <v/>
      </c>
      <c r="O154" s="16"/>
    </row>
    <row r="155" customFormat="false" ht="15" hidden="false" customHeight="false" outlineLevel="0" collapsed="false">
      <c r="A155" s="16"/>
      <c r="B155" s="16"/>
      <c r="C155" s="16"/>
      <c r="D155" s="18" t="str">
        <f aca="false"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aca="false">IF(OR(L155="",M155=""),"",L155*M155)</f>
        <v/>
      </c>
      <c r="O155" s="16"/>
    </row>
    <row r="156" customFormat="false" ht="15" hidden="false" customHeight="false" outlineLevel="0" collapsed="false">
      <c r="A156" s="16"/>
      <c r="B156" s="16"/>
      <c r="C156" s="16"/>
      <c r="D156" s="18" t="str">
        <f aca="false"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aca="false">IF(OR(L156="",M156=""),"",L156*M156)</f>
        <v/>
      </c>
      <c r="O156" s="16"/>
    </row>
    <row r="157" customFormat="false" ht="15" hidden="false" customHeight="false" outlineLevel="0" collapsed="false">
      <c r="A157" s="16"/>
      <c r="B157" s="16"/>
      <c r="C157" s="16"/>
      <c r="D157" s="18" t="str">
        <f aca="false"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aca="false">IF(OR(L157="",M157=""),"",L157*M157)</f>
        <v/>
      </c>
      <c r="O157" s="16"/>
    </row>
    <row r="158" customFormat="false" ht="15" hidden="false" customHeight="false" outlineLevel="0" collapsed="false">
      <c r="A158" s="16"/>
      <c r="B158" s="16"/>
      <c r="C158" s="16"/>
      <c r="D158" s="18" t="str">
        <f aca="false"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aca="false">IF(OR(L158="",M158=""),"",L158*M158)</f>
        <v/>
      </c>
      <c r="O158" s="16"/>
    </row>
    <row r="159" customFormat="false" ht="15" hidden="false" customHeight="false" outlineLevel="0" collapsed="false">
      <c r="A159" s="16"/>
      <c r="B159" s="16"/>
      <c r="C159" s="16"/>
      <c r="D159" s="18" t="str">
        <f aca="false"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aca="false">IF(OR(L159="",M159=""),"",L159*M159)</f>
        <v/>
      </c>
      <c r="O159" s="16"/>
    </row>
    <row r="160" customFormat="false" ht="15" hidden="false" customHeight="false" outlineLevel="0" collapsed="false">
      <c r="A160" s="16"/>
      <c r="B160" s="16"/>
      <c r="C160" s="16"/>
      <c r="D160" s="18" t="str">
        <f aca="false"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aca="false">IF(OR(L160="",M160=""),"",L160*M160)</f>
        <v/>
      </c>
      <c r="O160" s="16"/>
    </row>
    <row r="161" customFormat="false" ht="15" hidden="false" customHeight="false" outlineLevel="0" collapsed="false">
      <c r="A161" s="16"/>
      <c r="B161" s="16"/>
      <c r="C161" s="16"/>
      <c r="D161" s="18" t="str">
        <f aca="false"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aca="false">IF(OR(L161="",M161=""),"",L161*M161)</f>
        <v/>
      </c>
      <c r="O161" s="16"/>
    </row>
    <row r="162" customFormat="false" ht="15" hidden="false" customHeight="false" outlineLevel="0" collapsed="false">
      <c r="A162" s="16"/>
      <c r="B162" s="16"/>
      <c r="C162" s="16"/>
      <c r="D162" s="18" t="str">
        <f aca="false"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aca="false">IF(OR(L162="",M162=""),"",L162*M162)</f>
        <v/>
      </c>
      <c r="O162" s="16"/>
    </row>
    <row r="163" customFormat="false" ht="15" hidden="false" customHeight="false" outlineLevel="0" collapsed="false">
      <c r="A163" s="16"/>
      <c r="B163" s="16"/>
      <c r="C163" s="16"/>
      <c r="D163" s="18" t="str">
        <f aca="false"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aca="false">IF(OR(L163="",M163=""),"",L163*M163)</f>
        <v/>
      </c>
      <c r="O163" s="16"/>
    </row>
    <row r="164" customFormat="false" ht="15" hidden="false" customHeight="false" outlineLevel="0" collapsed="false">
      <c r="A164" s="16"/>
      <c r="B164" s="16"/>
      <c r="C164" s="16"/>
      <c r="D164" s="18" t="str">
        <f aca="false"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aca="false">IF(OR(L164="",M164=""),"",L164*M164)</f>
        <v/>
      </c>
      <c r="O164" s="16"/>
    </row>
    <row r="165" customFormat="false" ht="15" hidden="false" customHeight="false" outlineLevel="0" collapsed="false">
      <c r="A165" s="16"/>
      <c r="B165" s="16"/>
      <c r="C165" s="16"/>
      <c r="D165" s="18" t="str">
        <f aca="false"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aca="false">IF(OR(L165="",M165=""),"",L165*M165)</f>
        <v/>
      </c>
      <c r="O165" s="16"/>
    </row>
    <row r="166" customFormat="false" ht="15" hidden="false" customHeight="false" outlineLevel="0" collapsed="false">
      <c r="A166" s="16"/>
      <c r="B166" s="16"/>
      <c r="C166" s="16"/>
      <c r="D166" s="18" t="str">
        <f aca="false"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aca="false">IF(OR(L166="",M166=""),"",L166*M166)</f>
        <v/>
      </c>
      <c r="O166" s="16"/>
    </row>
    <row r="167" customFormat="false" ht="15" hidden="false" customHeight="false" outlineLevel="0" collapsed="false">
      <c r="A167" s="16"/>
      <c r="B167" s="16"/>
      <c r="C167" s="16"/>
      <c r="D167" s="18" t="str">
        <f aca="false"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aca="false">IF(OR(L167="",M167=""),"",L167*M167)</f>
        <v/>
      </c>
      <c r="O167" s="16"/>
    </row>
    <row r="168" customFormat="false" ht="15" hidden="false" customHeight="false" outlineLevel="0" collapsed="false">
      <c r="A168" s="16"/>
      <c r="B168" s="16"/>
      <c r="C168" s="16"/>
      <c r="D168" s="18" t="str">
        <f aca="false"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aca="false">IF(OR(L168="",M168=""),"",L168*M168)</f>
        <v/>
      </c>
      <c r="O168" s="16"/>
    </row>
    <row r="169" customFormat="false" ht="15" hidden="false" customHeight="false" outlineLevel="0" collapsed="false">
      <c r="A169" s="16"/>
      <c r="B169" s="16"/>
      <c r="C169" s="16"/>
      <c r="D169" s="18" t="str">
        <f aca="false"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aca="false">IF(OR(L169="",M169=""),"",L169*M169)</f>
        <v/>
      </c>
      <c r="O169" s="16"/>
    </row>
    <row r="170" customFormat="false" ht="15" hidden="false" customHeight="false" outlineLevel="0" collapsed="false">
      <c r="A170" s="16"/>
      <c r="B170" s="16"/>
      <c r="C170" s="16"/>
      <c r="D170" s="18" t="str">
        <f aca="false"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aca="false">IF(OR(L170="",M170=""),"",L170*M170)</f>
        <v/>
      </c>
      <c r="O170" s="16"/>
    </row>
    <row r="171" customFormat="false" ht="15" hidden="false" customHeight="false" outlineLevel="0" collapsed="false">
      <c r="A171" s="16"/>
      <c r="B171" s="16"/>
      <c r="C171" s="16"/>
      <c r="D171" s="18" t="str">
        <f aca="false"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aca="false">IF(OR(L171="",M171=""),"",L171*M171)</f>
        <v/>
      </c>
      <c r="O171" s="16"/>
    </row>
    <row r="172" customFormat="false" ht="15" hidden="false" customHeight="false" outlineLevel="0" collapsed="false">
      <c r="A172" s="16"/>
      <c r="B172" s="16"/>
      <c r="C172" s="16"/>
      <c r="D172" s="18" t="str">
        <f aca="false"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aca="false">IF(OR(L172="",M172=""),"",L172*M172)</f>
        <v/>
      </c>
      <c r="O172" s="16"/>
    </row>
    <row r="173" customFormat="false" ht="15" hidden="false" customHeight="false" outlineLevel="0" collapsed="false">
      <c r="A173" s="16"/>
      <c r="B173" s="16"/>
      <c r="C173" s="16"/>
      <c r="D173" s="18" t="str">
        <f aca="false"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aca="false">IF(OR(L173="",M173=""),"",L173*M173)</f>
        <v/>
      </c>
      <c r="O173" s="16"/>
    </row>
    <row r="174" customFormat="false" ht="15" hidden="false" customHeight="false" outlineLevel="0" collapsed="false">
      <c r="A174" s="16"/>
      <c r="B174" s="16"/>
      <c r="C174" s="16"/>
      <c r="D174" s="18" t="str">
        <f aca="false"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aca="false">IF(OR(L174="",M174=""),"",L174*M174)</f>
        <v/>
      </c>
      <c r="O174" s="16"/>
    </row>
    <row r="175" customFormat="false" ht="15" hidden="false" customHeight="false" outlineLevel="0" collapsed="false">
      <c r="A175" s="16"/>
      <c r="B175" s="16"/>
      <c r="C175" s="16"/>
      <c r="D175" s="18" t="str">
        <f aca="false"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aca="false">IF(OR(L175="",M175=""),"",L175*M175)</f>
        <v/>
      </c>
      <c r="O175" s="16"/>
    </row>
    <row r="176" customFormat="false" ht="15" hidden="false" customHeight="false" outlineLevel="0" collapsed="false">
      <c r="A176" s="16"/>
      <c r="B176" s="16"/>
      <c r="C176" s="16"/>
      <c r="D176" s="18" t="str">
        <f aca="false"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aca="false">IF(OR(L176="",M176=""),"",L176*M176)</f>
        <v/>
      </c>
      <c r="O176" s="16"/>
    </row>
    <row r="177" customFormat="false" ht="15" hidden="false" customHeight="false" outlineLevel="0" collapsed="false">
      <c r="A177" s="16"/>
      <c r="B177" s="16"/>
      <c r="C177" s="16"/>
      <c r="D177" s="18" t="str">
        <f aca="false"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aca="false">IF(OR(L177="",M177=""),"",L177*M177)</f>
        <v/>
      </c>
      <c r="O177" s="16"/>
    </row>
    <row r="178" customFormat="false" ht="15" hidden="false" customHeight="false" outlineLevel="0" collapsed="false">
      <c r="A178" s="16"/>
      <c r="B178" s="16"/>
      <c r="C178" s="16"/>
      <c r="D178" s="18" t="str">
        <f aca="false"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aca="false">IF(OR(L178="",M178=""),"",L178*M178)</f>
        <v/>
      </c>
      <c r="O178" s="16"/>
    </row>
    <row r="179" customFormat="false" ht="15" hidden="false" customHeight="false" outlineLevel="0" collapsed="false">
      <c r="A179" s="16"/>
      <c r="B179" s="16"/>
      <c r="C179" s="16"/>
      <c r="D179" s="18" t="str">
        <f aca="false"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aca="false">IF(OR(L179="",M179=""),"",L179*M179)</f>
        <v/>
      </c>
      <c r="O179" s="16"/>
    </row>
    <row r="180" customFormat="false" ht="15" hidden="false" customHeight="false" outlineLevel="0" collapsed="false">
      <c r="A180" s="16"/>
      <c r="B180" s="16"/>
      <c r="C180" s="16"/>
      <c r="D180" s="18" t="str">
        <f aca="false"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aca="false">IF(OR(L180="",M180=""),"",L180*M180)</f>
        <v/>
      </c>
      <c r="O180" s="16"/>
    </row>
    <row r="181" customFormat="false" ht="15" hidden="false" customHeight="false" outlineLevel="0" collapsed="false">
      <c r="A181" s="16"/>
      <c r="B181" s="16"/>
      <c r="C181" s="16"/>
      <c r="D181" s="18" t="str">
        <f aca="false"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aca="false">IF(OR(L181="",M181=""),"",L181*M181)</f>
        <v/>
      </c>
      <c r="O181" s="16"/>
    </row>
    <row r="182" customFormat="false" ht="15" hidden="false" customHeight="false" outlineLevel="0" collapsed="false">
      <c r="A182" s="16"/>
      <c r="B182" s="16"/>
      <c r="C182" s="16"/>
      <c r="D182" s="18" t="str">
        <f aca="false"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aca="false">IF(OR(L182="",M182=""),"",L182*M182)</f>
        <v/>
      </c>
      <c r="O182" s="16"/>
    </row>
    <row r="183" customFormat="false" ht="15" hidden="false" customHeight="false" outlineLevel="0" collapsed="false">
      <c r="A183" s="16"/>
      <c r="B183" s="16"/>
      <c r="C183" s="16"/>
      <c r="D183" s="18" t="str">
        <f aca="false"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aca="false">IF(OR(L183="",M183=""),"",L183*M183)</f>
        <v/>
      </c>
      <c r="O183" s="16"/>
    </row>
    <row r="184" customFormat="false" ht="15" hidden="false" customHeight="false" outlineLevel="0" collapsed="false">
      <c r="A184" s="16"/>
      <c r="B184" s="16"/>
      <c r="C184" s="16"/>
      <c r="D184" s="18" t="str">
        <f aca="false"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aca="false">IF(OR(L184="",M184=""),"",L184*M184)</f>
        <v/>
      </c>
      <c r="O184" s="16"/>
    </row>
    <row r="185" customFormat="false" ht="15" hidden="false" customHeight="false" outlineLevel="0" collapsed="false">
      <c r="A185" s="16"/>
      <c r="B185" s="16"/>
      <c r="C185" s="16"/>
      <c r="D185" s="18" t="str">
        <f aca="false"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aca="false">IF(OR(L185="",M185=""),"",L185*M185)</f>
        <v/>
      </c>
      <c r="O185" s="16"/>
    </row>
    <row r="186" customFormat="false" ht="15" hidden="false" customHeight="false" outlineLevel="0" collapsed="false">
      <c r="A186" s="16"/>
      <c r="B186" s="16"/>
      <c r="C186" s="16"/>
      <c r="D186" s="18" t="str">
        <f aca="false"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aca="false">IF(OR(L186="",M186=""),"",L186*M186)</f>
        <v/>
      </c>
      <c r="O186" s="16"/>
    </row>
    <row r="187" customFormat="false" ht="15" hidden="false" customHeight="false" outlineLevel="0" collapsed="false">
      <c r="A187" s="16"/>
      <c r="B187" s="16"/>
      <c r="C187" s="16"/>
      <c r="D187" s="18" t="str">
        <f aca="false"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aca="false">IF(OR(L187="",M187=""),"",L187*M187)</f>
        <v/>
      </c>
      <c r="O187" s="16"/>
    </row>
    <row r="188" customFormat="false" ht="15" hidden="false" customHeight="false" outlineLevel="0" collapsed="false">
      <c r="A188" s="16"/>
      <c r="B188" s="16"/>
      <c r="C188" s="16"/>
      <c r="D188" s="18" t="str">
        <f aca="false"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aca="false">IF(OR(L188="",M188=""),"",L188*M188)</f>
        <v/>
      </c>
      <c r="O188" s="16"/>
    </row>
    <row r="189" customFormat="false" ht="15" hidden="false" customHeight="false" outlineLevel="0" collapsed="false">
      <c r="A189" s="16"/>
      <c r="B189" s="16"/>
      <c r="C189" s="16"/>
      <c r="D189" s="18" t="str">
        <f aca="false"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aca="false">IF(OR(L189="",M189=""),"",L189*M189)</f>
        <v/>
      </c>
      <c r="O189" s="16"/>
    </row>
    <row r="190" customFormat="false" ht="15" hidden="false" customHeight="false" outlineLevel="0" collapsed="false">
      <c r="A190" s="16"/>
      <c r="B190" s="16"/>
      <c r="C190" s="16"/>
      <c r="D190" s="18" t="str">
        <f aca="false"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aca="false">IF(OR(L190="",M190=""),"",L190*M190)</f>
        <v/>
      </c>
      <c r="O190" s="16"/>
    </row>
    <row r="191" customFormat="false" ht="15" hidden="false" customHeight="false" outlineLevel="0" collapsed="false">
      <c r="A191" s="16"/>
      <c r="B191" s="16"/>
      <c r="C191" s="16"/>
      <c r="D191" s="18" t="str">
        <f aca="false"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aca="false">IF(OR(L191="",M191=""),"",L191*M191)</f>
        <v/>
      </c>
      <c r="O191" s="16"/>
    </row>
    <row r="192" customFormat="false" ht="15" hidden="false" customHeight="false" outlineLevel="0" collapsed="false">
      <c r="A192" s="16"/>
      <c r="B192" s="16"/>
      <c r="C192" s="16"/>
      <c r="D192" s="18" t="str">
        <f aca="false"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aca="false">IF(OR(L192="",M192=""),"",L192*M192)</f>
        <v/>
      </c>
      <c r="O192" s="16"/>
    </row>
    <row r="193" customFormat="false" ht="15" hidden="false" customHeight="false" outlineLevel="0" collapsed="false">
      <c r="A193" s="16"/>
      <c r="B193" s="16"/>
      <c r="C193" s="16"/>
      <c r="D193" s="18" t="str">
        <f aca="false"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aca="false">IF(OR(L193="",M193=""),"",L193*M193)</f>
        <v/>
      </c>
      <c r="O193" s="16"/>
    </row>
    <row r="194" customFormat="false" ht="15" hidden="false" customHeight="false" outlineLevel="0" collapsed="false">
      <c r="A194" s="16"/>
      <c r="B194" s="16"/>
      <c r="C194" s="16"/>
      <c r="D194" s="18" t="str">
        <f aca="false"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aca="false">IF(OR(L194="",M194=""),"",L194*M194)</f>
        <v/>
      </c>
      <c r="O194" s="16"/>
    </row>
    <row r="195" customFormat="false" ht="15" hidden="false" customHeight="false" outlineLevel="0" collapsed="false">
      <c r="A195" s="16"/>
      <c r="B195" s="16"/>
      <c r="C195" s="16"/>
      <c r="D195" s="18" t="str">
        <f aca="false"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aca="false">IF(OR(L195="",M195=""),"",L195*M195)</f>
        <v/>
      </c>
      <c r="O195" s="16"/>
    </row>
    <row r="196" customFormat="false" ht="15" hidden="false" customHeight="false" outlineLevel="0" collapsed="false">
      <c r="A196" s="16"/>
      <c r="B196" s="16"/>
      <c r="C196" s="16"/>
      <c r="D196" s="18" t="str">
        <f aca="false"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aca="false">IF(OR(L196="",M196=""),"",L196*M196)</f>
        <v/>
      </c>
      <c r="O196" s="16"/>
    </row>
    <row r="197" customFormat="false" ht="15" hidden="false" customHeight="false" outlineLevel="0" collapsed="false">
      <c r="A197" s="16"/>
      <c r="B197" s="16"/>
      <c r="C197" s="16"/>
      <c r="D197" s="18" t="str">
        <f aca="false"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aca="false">IF(OR(L197="",M197=""),"",L197*M197)</f>
        <v/>
      </c>
      <c r="O197" s="16"/>
    </row>
    <row r="198" customFormat="false" ht="15" hidden="false" customHeight="false" outlineLevel="0" collapsed="false">
      <c r="A198" s="16"/>
      <c r="B198" s="16"/>
      <c r="C198" s="16"/>
      <c r="D198" s="18" t="str">
        <f aca="false"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aca="false">IF(OR(L198="",M198=""),"",L198*M198)</f>
        <v/>
      </c>
      <c r="O198" s="16"/>
    </row>
    <row r="199" customFormat="false" ht="15" hidden="false" customHeight="false" outlineLevel="0" collapsed="false">
      <c r="A199" s="16"/>
      <c r="B199" s="16"/>
      <c r="C199" s="16"/>
      <c r="D199" s="18" t="str">
        <f aca="false"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aca="false">IF(OR(L199="",M199=""),"",L199*M199)</f>
        <v/>
      </c>
      <c r="O199" s="16"/>
    </row>
    <row r="200" customFormat="false" ht="15" hidden="false" customHeight="false" outlineLevel="0" collapsed="false">
      <c r="A200" s="16"/>
      <c r="B200" s="16"/>
      <c r="C200" s="16"/>
      <c r="D200" s="18" t="str">
        <f aca="false"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aca="false">IF(OR(L200="",M200=""),"",L200*M200)</f>
        <v/>
      </c>
      <c r="O200" s="16"/>
    </row>
    <row r="201" customFormat="false" ht="15" hidden="false" customHeight="false" outlineLevel="0" collapsed="false">
      <c r="A201" s="16"/>
      <c r="B201" s="16"/>
      <c r="C201" s="16"/>
      <c r="D201" s="18" t="str">
        <f aca="false"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aca="false">IF(OR(L201="",M201=""),"",L201*M201)</f>
        <v/>
      </c>
      <c r="O201" s="16"/>
    </row>
    <row r="202" customFormat="false" ht="15" hidden="false" customHeight="false" outlineLevel="0" collapsed="false">
      <c r="A202" s="16"/>
      <c r="B202" s="16"/>
      <c r="C202" s="16"/>
      <c r="D202" s="18" t="str">
        <f aca="false"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aca="false">IF(OR(L202="",M202=""),"",L202*M202)</f>
        <v/>
      </c>
      <c r="O202" s="16"/>
    </row>
    <row r="203" customFormat="false" ht="15" hidden="false" customHeight="false" outlineLevel="0" collapsed="false">
      <c r="A203" s="16"/>
      <c r="B203" s="16"/>
      <c r="C203" s="16"/>
      <c r="D203" s="18" t="str">
        <f aca="false"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8" t="str">
        <f aca="false">IF(OR(L203="",M203=""),"",L203*M203)</f>
        <v/>
      </c>
      <c r="O203" s="16"/>
    </row>
    <row r="204" customFormat="false" ht="15" hidden="false" customHeight="false" outlineLevel="0" collapsed="false">
      <c r="D204" s="0" t="str">
        <f aca="false">IFERROR(INDEX('Регистър на риска'!$I:$I,MATCH(A204,'Регистър на риска'!$A:$A,0)),"")</f>
        <v/>
      </c>
      <c r="N204" s="0" t="str">
        <f aca="false">IF(OR(L204="",M204=""),"",L204*M204)</f>
        <v/>
      </c>
    </row>
    <row r="205" customFormat="false" ht="15" hidden="false" customHeight="false" outlineLevel="0" collapsed="false">
      <c r="D205" s="0" t="str">
        <f aca="false">IFERROR(INDEX('Регистър на риска'!$I:$I,MATCH(A205,'Регистър на риска'!$A:$A,0)),"")</f>
        <v/>
      </c>
      <c r="N205" s="0" t="str">
        <f aca="false">IF(OR(L205="",M205=""),"",L205*M205)</f>
        <v/>
      </c>
    </row>
    <row r="206" customFormat="false" ht="15" hidden="false" customHeight="false" outlineLevel="0" collapsed="false">
      <c r="D206" s="0" t="str">
        <f aca="false">IFERROR(INDEX('Регистър на риска'!$I:$I,MATCH(A206,'Регистър на риска'!$A:$A,0)),"")</f>
        <v/>
      </c>
      <c r="N206" s="0" t="str">
        <f aca="false">IF(OR(L206="",M206=""),"",L206*M206)</f>
        <v/>
      </c>
    </row>
    <row r="207" customFormat="false" ht="15" hidden="false" customHeight="false" outlineLevel="0" collapsed="false">
      <c r="D207" s="0" t="str">
        <f aca="false">IFERROR(INDEX('Регистър на риска'!$I:$I,MATCH(A207,'Регистър на риска'!$A:$A,0)),"")</f>
        <v/>
      </c>
      <c r="N207" s="0" t="str">
        <f aca="false">IF(OR(L207="",M207=""),"",L207*M207)</f>
        <v/>
      </c>
    </row>
    <row r="208" customFormat="false" ht="15" hidden="false" customHeight="false" outlineLevel="0" collapsed="false">
      <c r="D208" s="0" t="str">
        <f aca="false">IFERROR(INDEX('Регистър на риска'!$I:$I,MATCH(A208,'Регистър на риска'!$A:$A,0)),"")</f>
        <v/>
      </c>
      <c r="N208" s="0" t="str">
        <f aca="false">IF(OR(L208="",M208=""),"",L208*M208)</f>
        <v/>
      </c>
    </row>
    <row r="209" customFormat="false" ht="15" hidden="false" customHeight="false" outlineLevel="0" collapsed="false">
      <c r="D209" s="0" t="str">
        <f aca="false">IFERROR(INDEX('Регистър на риска'!$I:$I,MATCH(A209,'Регистър на риска'!$A:$A,0)),"")</f>
        <v/>
      </c>
      <c r="N209" s="0" t="str">
        <f aca="false">IF(OR(L209="",M209=""),"",L209*M209)</f>
        <v/>
      </c>
    </row>
    <row r="210" customFormat="false" ht="15" hidden="false" customHeight="false" outlineLevel="0" collapsed="false">
      <c r="D210" s="0" t="str">
        <f aca="false">IFERROR(INDEX('Регистър на риска'!$I:$I,MATCH(A210,'Регистър на риска'!$A:$A,0)),"")</f>
        <v/>
      </c>
      <c r="N210" s="0" t="str">
        <f aca="false">IF(OR(L210="",M210=""),"",L210*M210)</f>
        <v/>
      </c>
    </row>
  </sheetData>
  <conditionalFormatting sqref="D2:D210">
    <cfRule type="cellIs" priority="2" operator="between" aboveAverage="0" equalAverage="0" bottom="0" percent="0" rank="0" text="" dxfId="0">
      <formula>1</formula>
      <formula>4</formula>
    </cfRule>
    <cfRule type="cellIs" priority="3" operator="between" aboveAverage="0" equalAverage="0" bottom="0" percent="0" rank="0" text="" dxfId="1">
      <formula>5</formula>
      <formula>9</formula>
    </cfRule>
    <cfRule type="cellIs" priority="4" operator="between" aboveAverage="0" equalAverage="0" bottom="0" percent="0" rank="0" text="" dxfId="2">
      <formula>10</formula>
      <formula>15</formula>
    </cfRule>
    <cfRule type="cellIs" priority="5" operator="between" aboveAverage="0" equalAverage="0" bottom="0" percent="0" rank="0" text="" dxfId="3">
      <formula>16</formula>
      <formula>25</formula>
    </cfRule>
  </conditionalFormatting>
  <conditionalFormatting sqref="N2:N210">
    <cfRule type="cellIs" priority="6" operator="between" aboveAverage="0" equalAverage="0" bottom="0" percent="0" rank="0" text="" dxfId="0">
      <formula>1</formula>
      <formula>4</formula>
    </cfRule>
    <cfRule type="cellIs" priority="7" operator="between" aboveAverage="0" equalAverage="0" bottom="0" percent="0" rank="0" text="" dxfId="1">
      <formula>5</formula>
      <formula>9</formula>
    </cfRule>
    <cfRule type="cellIs" priority="8" operator="between" aboveAverage="0" equalAverage="0" bottom="0" percent="0" rank="0" text="" dxfId="2">
      <formula>10</formula>
      <formula>15</formula>
    </cfRule>
    <cfRule type="cellIs" priority="9" operator="between" aboveAverage="0" equalAverage="0" bottom="0" percent="0" rank="0" text="" dxfId="3">
      <formula>16</formula>
      <formula>25</formula>
    </cfRule>
  </conditionalFormatting>
  <dataValidations count="3">
    <dataValidation allowBlank="true" errorStyle="stop" operator="between" showDropDown="false" showErrorMessage="false" showInputMessage="false" sqref="E2:E210" type="list">
      <formula1>"намаляване,прехвърляне,избягване,приемане"</formula1>
      <formula2>0</formula2>
    </dataValidation>
    <dataValidation allowBlank="true" errorStyle="stop" operator="between" showDropDown="false" showErrorMessage="false" showInputMessage="false" sqref="K2:K210" type="list">
      <formula1>"планиран,в процес,внедрен,приет"</formula1>
      <formula2>0</formula2>
    </dataValidation>
    <dataValidation allowBlank="true" errorStyle="stop" operator="between" showDropDown="false" showErrorMessage="false" showInputMessage="false" sqref="L2:M21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2026-10-07T22:19:43Z</dcterms:created>
  <dc:creator>openpyxl</dc:creator>
  <dc:description/>
  <dc:language>en-US</dc:language>
  <cp:lastModifiedBy>Peter</cp:lastModifiedBy>
  <dcterms:modified xsi:type="dcterms:W3CDTF">2026-10-12T19:58:51Z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